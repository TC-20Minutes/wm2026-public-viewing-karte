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fd17698c5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c Viewing" sheetId="1" r:id="R1f425c1547cc40a2"/>
    <x:sheet xmlns:r="http://schemas.openxmlformats.org/officeDocument/2006/relationships" name="Zusammenfassung" sheetId="2" r:id="R5d61995b320d4ddf"/>
  </x:sheets>
</x:workbook>
</file>

<file path=xl/sharedStrings.xml><?xml version="1.0" encoding="utf-8"?>
<x:sst xmlns:x="http://schemas.openxmlformats.org/spreadsheetml/2006/main">
  <x:si>
    <x:t xml:space="preserve">Name + Adresse</x:t>
  </x:si>
  <x:si>
    <x:t xml:space="preserve">LAT-Koordinaten</x:t>
  </x:si>
  <x:si>
    <x:t xml:space="preserve">LOT-Koordinaten</x:t>
  </x:si>
  <x:si>
    <x:t xml:space="preserve">Kanton</x:t>
  </x:si>
  <x:si>
    <x:t xml:space="preserve">Name</x:t>
  </x:si>
  <x:si>
    <x:t xml:space="preserve">Kurzbeschrieb</x:t>
  </x:si>
  <x:si>
    <x:t xml:space="preserve">Link</x:t>
  </x:si>
  <x:si>
    <x:t xml:space="preserve">Aeschbachhalle AHA: Aeschbachweg 8, 5000 Aarau</x:t>
  </x:si>
  <x:si>
    <x:t xml:space="preserve">Aargau</x:t>
  </x:si>
  <x:si>
    <x:t xml:space="preserve">Aeschbachhalle AHA</x:t>
  </x:si>
  <x:si>
    <x:t xml:space="preserve">Henry's Bar: Schlossbergplatz 4, 5400 Baden</x:t>
  </x:si>
  <x:si>
    <x:t xml:space="preserve">Henry's Bar</x:t>
  </x:si>
  <x:si>
    <x:t xml:space="preserve">Musigburg: Bahnhofstrasse 50, 4663 Aarburg</x:t>
  </x:si>
  <x:si>
    <x:t xml:space="preserve">Musigburg</x:t>
  </x:si>
  <x:si>
    <x:t xml:space="preserve">Wyn's Pub Wynental: Mitteldorfstrasse 11, 5722 Gränichen</x:t>
  </x:si>
  <x:si>
    <x:t xml:space="preserve">Wyn's Pub Wynental</x:t>
  </x:si>
  <x:si>
    <x:t xml:space="preserve">Pub Appenzell: Bankgasse 8, 9050 Appenzell</x:t>
  </x:si>
  <x:si>
    <x:t xml:space="preserve">Appenzell (AI/AR)</x:t>
  </x:si>
  <x:si>
    <x:t xml:space="preserve">Pub Appenzell</x:t>
  </x:si>
  <x:si>
    <x:t xml:space="preserve">Stau Public Viewing: Gaiserau 19, 9056 Gais</x:t>
  </x:si>
  <x:si>
    <x:t xml:space="preserve">Stau Public Viewing</x:t>
  </x:si>
  <x:si>
    <x:t xml:space="preserve">Birtel Fahrbar: Frankfurt-Strasse 21, 4142 Münchenstein</x:t>
  </x:si>
  <x:si>
    <x:t xml:space="preserve">Basel-Land</x:t>
  </x:si>
  <x:si>
    <x:t xml:space="preserve">Birtel Fahrbar</x:t>
  </x:si>
  <x:si>
    <x:t xml:space="preserve">Bredella Village: Wasenstrasse 10, 4133 Pratteln</x:t>
  </x:si>
  <x:si>
    <x:t xml:space="preserve">Bredella Village</x:t>
  </x:si>
  <x:si>
    <x:t xml:space="preserve">Elefantehuus: Mühlemattstrasse 4, 4410 Liestal</x:t>
  </x:si>
  <x:si>
    <x:t xml:space="preserve">Elefantehuus</x:t>
  </x:si>
  <x:si>
    <x:t xml:space="preserve">Sandoase Arena: Hegenheimermattweg 130, 4123 Allschwil</x:t>
  </x:si>
  <x:si>
    <x:t xml:space="preserve">Sandoase Arena</x:t>
  </x:si>
  <x:si>
    <x:t xml:space="preserve">Swiss Mega Park: Bächliackerstrasse 8, 4402 Frenkendorf</x:t>
  </x:si>
  <x:si>
    <x:t xml:space="preserve">Swiss Mega Park</x:t>
  </x:si>
  <x:si>
    <x:t xml:space="preserve">Zic Zac: Baslerstrasse 355, 4123 Allschwil</x:t>
  </x:si>
  <x:si>
    <x:t xml:space="preserve">Zic Zac</x:t>
  </x:si>
  <x:si>
    <x:t xml:space="preserve">1777: Im Schmiedenhof 10, 4001 Basel</x:t>
  </x:si>
  <x:si>
    <x:t xml:space="preserve">Basel-Stadt</x:t>
  </x:si>
  <x:si>
    <x:t xml:space="preserve">1777</x:t>
  </x:si>
  <x:si>
    <x:t xml:space="preserve">Badischer Bahnhof: Schwarzwaldallee 200, 4058 Basel</x:t>
  </x:si>
  <x:si>
    <x:t xml:space="preserve">Badischer Bahnhof</x:t>
  </x:si>
  <x:si>
    <x:t xml:space="preserve">Bar du Nord: Schwarzwaldallee 200, 4058 Basel; nur Spiele mit Beteiligung der Schweiz und von Deutschland</x:t>
  </x:si>
  <x:si>
    <x:t xml:space="preserve">Bar du Nord</x:t>
  </x:si>
  <x:si>
    <x:t xml:space="preserve">didi: Erasmusplatz 12, 4057 Basel</x:t>
  </x:si>
  <x:si>
    <x:t xml:space="preserve">didi</x:t>
  </x:si>
  <x:si>
    <x:t xml:space="preserve">Viertel Dach: Münchensteinerstrasse 81, 4052 Basel</x:t>
  </x:si>
  <x:si>
    <x:t xml:space="preserve">Viertel Dach</x:t>
  </x:si>
  <x:si>
    <x:t xml:space="preserve">Volta Bräu: Voltastrasse 30, 4056 Basel</x:t>
  </x:si>
  <x:si>
    <x:t xml:space="preserve">Volta Bräu</x:t>
  </x:si>
  <x:si>
    <x:t xml:space="preserve">Werk8: Dornacherstrasse 192, 4053 Basel</x:t>
  </x:si>
  <x:si>
    <x:t xml:space="preserve">Werk8</x:t>
  </x:si>
  <x:si>
    <x:t xml:space="preserve">bar 99: Moserstrasse 20, 3014 Bern</x:t>
  </x:si>
  <x:si>
    <x:t xml:space="preserve">Bern</x:t>
  </x:si>
  <x:si>
    <x:t xml:space="preserve">bar 99</x:t>
  </x:si>
  <x:si>
    <x:t xml:space="preserve">Fernweh Badi Langnau: Schützenweg 253, 3550 Langnau</x:t>
  </x:si>
  <x:si>
    <x:t xml:space="preserve">Fernweh Badi Langnau</x:t>
  </x:si>
  <x:si>
    <x:t xml:space="preserve">Grosse Schanze Summer Beach: Parkterrasse, 3012 Bern</x:t>
  </x:si>
  <x:si>
    <x:t xml:space="preserve">Grosse Schanze Summer Beach</x:t>
  </x:si>
  <x:si>
    <x:t xml:space="preserve">Joker's Pub &amp; Sportsbar: Bettenhausenstrasse 2, 3360 Herzogenbuchsee</x:t>
  </x:si>
  <x:si>
    <x:t xml:space="preserve">Joker's Pub &amp; Sportsbar</x:t>
  </x:si>
  <x:si>
    <x:t xml:space="preserve">Piazza im Park – Hirschengraben: Hirschengraben 11, 3011 Bern</x:t>
  </x:si>
  <x:si>
    <x:t xml:space="preserve">Piazza im Park – Hirschengraben</x:t>
  </x:si>
  <x:si>
    <x:t xml:space="preserve">Restaurant Marzilibrücke: Gasstrasse 8, 3005 Bern</x:t>
  </x:si>
  <x:si>
    <x:t xml:space="preserve">Restaurant Marzilibrücke</x:t>
  </x:si>
  <x:si>
    <x:t xml:space="preserve">Schlawiner: Waldeggstrasse 38, 3097 Bern-Liebefeld</x:t>
  </x:si>
  <x:si>
    <x:t xml:space="preserve">Schlawiner</x:t>
  </x:si>
  <x:si>
    <x:t xml:space="preserve">Schloss Köniz: Muhlernstrasse 11, 3098 Köniz</x:t>
  </x:si>
  <x:si>
    <x:t xml:space="preserve">Schloss Köniz</x:t>
  </x:si>
  <x:si>
    <x:t xml:space="preserve">Seemätteli: Mühlerunsweg, 2560 Nidau</x:t>
  </x:si>
  <x:si>
    <x:t xml:space="preserve">Seemätteli</x:t>
  </x:si>
  <x:si>
    <x:t xml:space="preserve">Sportbar Bern: Jubiläumsstrasse 103, 3005 Bern</x:t>
  </x:si>
  <x:si>
    <x:t xml:space="preserve">Sportbar Bern</x:t>
  </x:si>
  <x:si>
    <x:t xml:space="preserve">Stellwerk: Parkterrasse 16, 3012 Bern</x:t>
  </x:si>
  <x:si>
    <x:t xml:space="preserve">Stellwerk</x:t>
  </x:si>
  <x:si>
    <x:t xml:space="preserve">Waisenhausplatz Thun: Waisenhausplatz, 3600 Thun</x:t>
  </x:si>
  <x:si>
    <x:t xml:space="preserve">Waisenhausplatz Thun</x:t>
  </x:si>
  <x:si>
    <x:t xml:space="preserve">Woodball Arena: Le Buro, Rue de la Sionge 29, 1630 Bulle</x:t>
  </x:si>
  <x:si>
    <x:t xml:space="preserve">Freiburg</x:t>
  </x:si>
  <x:si>
    <x:t xml:space="preserve">Woodball Arena</x:t>
  </x:si>
  <x:si>
    <x:t xml:space="preserve">Britannia Pub: Place de Cornavin 6, 1201 Genève</x:t>
  </x:si>
  <x:si>
    <x:t xml:space="preserve">Genf</x:t>
  </x:si>
  <x:si>
    <x:t xml:space="preserve">Britannia Pub</x:t>
  </x:si>
  <x:si>
    <x:t xml:space="preserve">Crossroads Pub: Rue du 31-Décembre 35, 1207 Genève</x:t>
  </x:si>
  <x:si>
    <x:t xml:space="preserve">Crossroads Pub</x:t>
  </x:si>
  <x:si>
    <x:t xml:space="preserve">Grand Duke Pub: Rue de Monthoux 8, 1201 Genève</x:t>
  </x:si>
  <x:si>
    <x:t xml:space="preserve">Grand Duke Pub</x:t>
  </x:si>
  <x:si>
    <x:t xml:space="preserve">Lady Godiva English Pub: Boulevard du Pont-d'Arve 53, 1205 Genève</x:t>
  </x:si>
  <x:si>
    <x:t xml:space="preserve">Lady Godiva English Pub</x:t>
  </x:si>
  <x:si>
    <x:t xml:space="preserve">Mr Pickwick Pub: Rue de Lausanne 80, 1202 Genève</x:t>
  </x:si>
  <x:si>
    <x:t xml:space="preserve">Mr Pickwick Pub</x:t>
  </x:si>
  <x:si>
    <x:t xml:space="preserve">Mulligans Irish Pub Geneva: Rue De-Grenus 14, 1201 Genève</x:t>
  </x:si>
  <x:si>
    <x:t xml:space="preserve">Mulligans Irish Pub Geneva</x:t>
  </x:si>
  <x:si>
    <x:t xml:space="preserve">Hotel Kurhaus Lenzerheide: Voa Principala 40, 7078 Lenzerheide/Lai</x:t>
  </x:si>
  <x:si>
    <x:t xml:space="preserve">Graubünden</x:t>
  </x:si>
  <x:si>
    <x:t xml:space="preserve">Hotel Kurhaus Lenzerheide</x:t>
  </x:si>
  <x:si>
    <x:t xml:space="preserve">Radio Grischa: Sommeraustrasse 32, 7000 Chur; Schweiz gegen Katar</x:t>
  </x:si>
  <x:si>
    <x:t xml:space="preserve">Radio Grischa</x:t>
  </x:si>
  <x:si>
    <x:t xml:space="preserve">Rockresort Lounge: Rocks Resort, 7032 Laax Murschetg</x:t>
  </x:si>
  <x:si>
    <x:t xml:space="preserve">Rockresort Lounge</x:t>
  </x:si>
  <x:si>
    <x:t xml:space="preserve">Werkstatt Chur: Untere Gasse 9, 7000 Chur</x:t>
  </x:si>
  <x:si>
    <x:t xml:space="preserve">Werkstatt Chur</x:t>
  </x:si>
  <x:si>
    <x:t xml:space="preserve">Fanzone Jura: Patinoire de Delémont, Rue de la Jeunesse 10, 2800 Delémont</x:t>
  </x:si>
  <x:si>
    <x:t xml:space="preserve">Jura</x:t>
  </x:si>
  <x:si>
    <x:t xml:space="preserve">Fanzone Jura</x:t>
  </x:si>
  <x:si>
    <x:t xml:space="preserve">La Plage: Rue Emile-Boéchat 71, 2800 Delémont</x:t>
  </x:si>
  <x:si>
    <x:t xml:space="preserve">La Plage</x:t>
  </x:si>
  <x:si>
    <x:t xml:space="preserve">WM-Meile Vaduz: Rathausplatz im Städtle, FL-9490 Vaduz</x:t>
  </x:si>
  <x:si>
    <x:t xml:space="preserve">Liechtenstein</x:t>
  </x:si>
  <x:si>
    <x:t xml:space="preserve">WM-Meile Vaduz</x:t>
  </x:si>
  <x:si>
    <x:t xml:space="preserve">Anfield Pub: Seehofstrasse 7, 6004 Luzern</x:t>
  </x:si>
  <x:si>
    <x:t xml:space="preserve">Luzern</x:t>
  </x:si>
  <x:si>
    <x:t xml:space="preserve">Anfield Pub</x:t>
  </x:si>
  <x:si>
    <x:t xml:space="preserve">Badi Baldegg: Seebadstrasse, 6283 Baldegg</x:t>
  </x:si>
  <x:si>
    <x:t xml:space="preserve">Badi Baldegg</x:t>
  </x:si>
  <x:si>
    <x:t xml:space="preserve">Château Gütsch: Kanonenstrasse 1, 6003 Luzern</x:t>
  </x:si>
  <x:si>
    <x:t xml:space="preserve">Château Gütsch</x:t>
  </x:si>
  <x:si>
    <x:t xml:space="preserve">Crazy Cactus: Baselstrasse 24, 6003 Luzern</x:t>
  </x:si>
  <x:si>
    <x:t xml:space="preserve">Crazy Cactus</x:t>
  </x:si>
  <x:si>
    <x:t xml:space="preserve">Hotel Schweizerhof: Schweizerhofquai 3, 6002 Luzern</x:t>
  </x:si>
  <x:si>
    <x:t xml:space="preserve">Hotel Schweizerhof</x:t>
  </x:si>
  <x:si>
    <x:t xml:space="preserve">Konzerthaus Schüür: Tribschenstrasse 1, 6005 Luzern</x:t>
  </x:si>
  <x:si>
    <x:t xml:space="preserve">Konzerthaus Schüür</x:t>
  </x:si>
  <x:si>
    <x:t xml:space="preserve">LUZ Seebistro: Schifflandungsbrücke, 6002 Luzern</x:t>
  </x:si>
  <x:si>
    <x:t xml:space="preserve">LUZ Seebistro</x:t>
  </x:si>
  <x:si>
    <x:t xml:space="preserve">Minigolf Lido Public Viewing: Lidostrasse, 6006 Luzern</x:t>
  </x:si>
  <x:si>
    <x:t xml:space="preserve">Minigolf Lido Public Viewing</x:t>
  </x:si>
  <x:si>
    <x:t xml:space="preserve">Strandbad Sursee: Merkurstrasse 20, 6210 Sursee</x:t>
  </x:si>
  <x:si>
    <x:t xml:space="preserve">Strandbad Sursee</x:t>
  </x:si>
  <x:si>
    <x:t xml:space="preserve">Ufschötti: Alpenquai, 6005 Luzern</x:t>
  </x:si>
  <x:si>
    <x:t xml:space="preserve">Ufschötti</x:t>
  </x:si>
  <x:si>
    <x:t xml:space="preserve">Fanzone du Mini: Quai Robert-Comtesse 4, 2000 Neuchâtel</x:t>
  </x:si>
  <x:si>
    <x:t xml:space="preserve">Neuenburg</x:t>
  </x:si>
  <x:si>
    <x:t xml:space="preserve">Fanzone du Mini</x:t>
  </x:si>
  <x:si>
    <x:t xml:space="preserve">Heini's WM-Garten: Mosergarten, Moserstrasse, 8200 Schaffhausen</x:t>
  </x:si>
  <x:si>
    <x:t xml:space="preserve">Schaffhausen</x:t>
  </x:si>
  <x:si>
    <x:t xml:space="preserve">Heini's WM-Garten</x:t>
  </x:si>
  <x:si>
    <x:t xml:space="preserve">Rhy-Arena: Salzstadel-Area, 8200 Schaffhausen</x:t>
  </x:si>
  <x:si>
    <x:t xml:space="preserve">Rhy-Arena</x:t>
  </x:si>
  <x:si>
    <x:t xml:space="preserve">Gaswerk Eventbar: Bahnhofstrasse 180 B, 6423 Seewen; nur Spiele mit Schweizer Beteiligung</x:t>
  </x:si>
  <x:si>
    <x:t xml:space="preserve">Schwyz</x:t>
  </x:si>
  <x:si>
    <x:t xml:space="preserve">Gaswerk Eventbar</x:t>
  </x:si>
  <x:si>
    <x:t xml:space="preserve">Kult-WM: Kult-Turm, Franzosenstrasse 72, 6423 Seewen; nur Spiele mit Schweizer Beteiligung</x:t>
  </x:si>
  <x:si>
    <x:t xml:space="preserve">Kult-WM</x:t>
  </x:si>
  <x:si>
    <x:t xml:space="preserve">WM 2026 Public Viewing: Auslandschweizerplatz, Föhnhafen 1, 6440 Brunnen</x:t>
  </x:si>
  <x:si>
    <x:t xml:space="preserve">WM 2026 Public Viewing</x:t>
  </x:si>
  <x:si>
    <x:t xml:space="preserve">Beach Style: Dornacherplatz, 4500 Solothurn</x:t>
  </x:si>
  <x:si>
    <x:t xml:space="preserve">Solothurn</x:t>
  </x:si>
  <x:si>
    <x:t xml:space="preserve">Beach Style</x:t>
  </x:si>
  <x:si>
    <x:t xml:space="preserve">Kulturraum im Uferbau und im Solheure: Solheure Bar Restaurant Lounge, Ritterquai 10, 4500 Solothurn</x:t>
  </x:si>
  <x:si>
    <x:t xml:space="preserve">Kulturraum im Uferbau und im Solheure</x:t>
  </x:si>
  <x:si>
    <x:t xml:space="preserve">Affekt: Brühlgasse 21, 9000 St. Gallen</x:t>
  </x:si>
  <x:si>
    <x:t xml:space="preserve">St. Gallen</x:t>
  </x:si>
  <x:si>
    <x:t xml:space="preserve">Affekt</x:t>
  </x:si>
  <x:si>
    <x:t xml:space="preserve">D'Gass: Metzgergasse, 9470 Buchs SG</x:t>
  </x:si>
  <x:si>
    <x:t xml:space="preserve">D'Gass</x:t>
  </x:si>
  <x:si>
    <x:t xml:space="preserve">Militärkantine St. Gallen: Kreuzbleicheweg 2, 9000 St. Gallen</x:t>
  </x:si>
  <x:si>
    <x:t xml:space="preserve">Militärkantine St. Gallen</x:t>
  </x:si>
  <x:si>
    <x:t xml:space="preserve">Waaghaus Arena: Waaghaus St.Gallen, Marktplatz am Bohl, 9000 St.Gallen</x:t>
  </x:si>
  <x:si>
    <x:t xml:space="preserve">Waaghaus Arena</x:t>
  </x:si>
  <x:si>
    <x:t xml:space="preserve">Public Viewing Lugano: Piazza Manzoni, Via Massimiliano Magatti 2, 6900 Lugano</x:t>
  </x:si>
  <x:si>
    <x:t xml:space="preserve">Tessin</x:t>
  </x:si>
  <x:si>
    <x:t xml:space="preserve">Public Viewing Lugano</x:t>
  </x:si>
  <x:si>
    <x:t xml:space="preserve">Bodensee-Arena: Seestrasse 11b, 8280 Kreuzlingen</x:t>
  </x:si>
  <x:si>
    <x:t xml:space="preserve">Thurgau</x:t>
  </x:si>
  <x:si>
    <x:t xml:space="preserve">Bodensee-Arena</x:t>
  </x:si>
  <x:si>
    <x:t xml:space="preserve">Dreiegg: Metzgerstrasse 4, 8500 Frauenfeld</x:t>
  </x:si>
  <x:si>
    <x:t xml:space="preserve">Dreiegg</x:t>
  </x:si>
  <x:si>
    <x:t xml:space="preserve">Peggy's: Metzgerstrasse 1, 8500 Frauenfeld</x:t>
  </x:si>
  <x:si>
    <x:t xml:space="preserve">Peggy's</x:t>
  </x:si>
  <x:si>
    <x:t xml:space="preserve">Seepark Arbon: Seeparksaal, Wassergasse 14, 9320 Arbon</x:t>
  </x:si>
  <x:si>
    <x:t xml:space="preserve">Seepark Arbon</x:t>
  </x:si>
  <x:si>
    <x:t xml:space="preserve">Autonova Fanzone: Impasse des Cerisiers 27, 1585 Bellerive</x:t>
  </x:si>
  <x:si>
    <x:t xml:space="preserve">Waadt</x:t>
  </x:si>
  <x:si>
    <x:t xml:space="preserve">Autonova Fanzone</x:t>
  </x:si>
  <x:si>
    <x:t xml:space="preserve">Bamee Bar: Avenue de la Gare 32, 1003 Lausanne</x:t>
  </x:si>
  <x:si>
    <x:t xml:space="preserve">Bamee Bar</x:t>
  </x:si>
  <x:si>
    <x:t xml:space="preserve">Bulldog Bar &amp; Resto: Rue du Port-Franc 17, 1003 Lausanne</x:t>
  </x:si>
  <x:si>
    <x:t xml:space="preserve">Bulldog Bar &amp; Resto</x:t>
  </x:si>
  <x:si>
    <x:t xml:space="preserve">Fan Arena 2026: Route de l'Etraz 8, 1267 Vich</x:t>
  </x:si>
  <x:si>
    <x:t xml:space="preserve">Fan Arena 2026</x:t>
  </x:si>
  <x:si>
    <x:t xml:space="preserve">Fanzone Aigle: Avenue des Glariers, 1860 Aigle</x:t>
  </x:si>
  <x:si>
    <x:t xml:space="preserve">Fanzone Aigle</x:t>
  </x:si>
  <x:si>
    <x:t xml:space="preserve">Fanzone Vevey: Jardin du Rivage, Quai Maria-Belgia, 1800 Vevey</x:t>
  </x:si>
  <x:si>
    <x:t xml:space="preserve">Fanzone Vevey</x:t>
  </x:si>
  <x:si>
    <x:t xml:space="preserve">King Size Pub: Rue du Port-Franc 16, 1003 Lausanne</x:t>
  </x:si>
  <x:si>
    <x:t xml:space="preserve">King Size Pub</x:t>
  </x:si>
  <x:si>
    <x:t xml:space="preserve">McCarthy's Irish Pub: Place Pépinet 1, 1003 Lausanne</x:t>
  </x:si>
  <x:si>
    <x:t xml:space="preserve">McCarthy's Irish Pub</x:t>
  </x:si>
  <x:si>
    <x:t xml:space="preserve">Montana's: Avenue du Théâtre 2, 1005 Lausanne</x:t>
  </x:si>
  <x:si>
    <x:t xml:space="preserve">Montana's</x:t>
  </x:si>
  <x:si>
    <x:t xml:space="preserve">Boxer Public Viewing, All. de Winterthur 1, 1400 Yverdon-les-Bains</x:t>
  </x:si>
  <x:si>
    <x:t xml:space="preserve">Boxer Public Viewing</x:t>
  </x:si>
  <x:si>
    <x:t xml:space="preserve">The Great Escape: Rue de la Madeleine 18, 1003 Lausanne</x:t>
  </x:si>
  <x:si>
    <x:t xml:space="preserve">The Great Escape</x:t>
  </x:si>
  <x:si>
    <x:t xml:space="preserve">Camping Sedunum: Route des Ecussons 10, 1950 Sion</x:t>
  </x:si>
  <x:si>
    <x:t xml:space="preserve">Wallis</x:t>
  </x:si>
  <x:si>
    <x:t xml:space="preserve">Camping Sedunum</x:t>
  </x:si>
  <x:si>
    <x:t xml:space="preserve">Fanzone Fully: Rue de Prévent 7, 1926 Fully</x:t>
  </x:si>
  <x:si>
    <x:t xml:space="preserve">Fanzone Fully</x:t>
  </x:si>
  <x:si>
    <x:t xml:space="preserve">Jugi Zermatt: Obere Matten, 3920 Zermatt</x:t>
  </x:si>
  <x:si>
    <x:t xml:space="preserve">Jugi Zermatt</x:t>
  </x:si>
  <x:si>
    <x:t xml:space="preserve">Public Viewing Fiesch: Nellenboden beim Hôtel du Glacier, 3984 Fiesch</x:t>
  </x:si>
  <x:si>
    <x:t xml:space="preserve">Public Viewing Fiesch</x:t>
  </x:si>
  <x:si>
    <x:t xml:space="preserve">Public Viewing Naters: Belalpstrasse 24, 3904 Naters</x:t>
  </x:si>
  <x:si>
    <x:t xml:space="preserve">Public Viewing Naters</x:t>
  </x:si>
  <x:si>
    <x:t xml:space="preserve">Restaurant Ribis &amp; Stibis: Kantonsstrasse 171, 3929 Täsch</x:t>
  </x:si>
  <x:si>
    <x:t xml:space="preserve">Restaurant Ribis &amp; Stibis</x:t>
  </x:si>
  <x:si>
    <x:t xml:space="preserve">Taproom WhiteFrontier Martigny: Rue du Levant 99, 1920 Martigny</x:t>
  </x:si>
  <x:si>
    <x:t xml:space="preserve">Taproom WhiteFrontier Martigny</x:t>
  </x:si>
  <x:si>
    <x:t xml:space="preserve">The Dugout Sports Bar: Rue du Scex 5, 1950 Sion</x:t>
  </x:si>
  <x:si>
    <x:t xml:space="preserve">The Dugout Sports Bar</x:t>
  </x:si>
  <x:si>
    <x:t xml:space="preserve">WM Public Viewing: Obere Dorfstrasse 2, 3906 Saas-Grund</x:t>
  </x:si>
  <x:si>
    <x:t xml:space="preserve">WM Public Viewing</x:t>
  </x:si>
  <x:si>
    <x:t xml:space="preserve">Braui Markt Ennetsee: Chamerstrasse 44, 6331 Hünenberg</x:t>
  </x:si>
  <x:si>
    <x:t xml:space="preserve">Zug</x:t>
  </x:si>
  <x:si>
    <x:t xml:space="preserve">Braui Markt Ennetsee</x:t>
  </x:si>
  <x:si>
    <x:t xml:space="preserve">Amboss Rampe: Zollstrasse 80, 8005 Zürich</x:t>
  </x:si>
  <x:si>
    <x:t xml:space="preserve">Zürich</x:t>
  </x:si>
  <x:si>
    <x:t xml:space="preserve">Amboss Rampe</x:t>
  </x:si>
  <x:si>
    <x:t xml:space="preserve">Bännebrett-Restaurant: der Tennisarena Rümikon: Rümikerstrasse 5B, 8352 Elsau</x:t>
  </x:si>
  <x:si>
    <x:t xml:space="preserve">Bännebrett-Restaurant</x:t>
  </x:si>
  <x:si>
    <x:t xml:space="preserve">Böllebar: Parkplatz Zwischenbächen beim Zentrum Spitzacker, 8902 Urdorf</x:t>
  </x:si>
  <x:si>
    <x:t xml:space="preserve">Böllebar</x:t>
  </x:si>
  <x:si>
    <x:t xml:space="preserve">Café Europa: Lagerstrasse 22, 8004 Zürich</x:t>
  </x:si>
  <x:si>
    <x:t xml:space="preserve">Café Europa</x:t>
  </x:si>
  <x:si>
    <x:t xml:space="preserve">Caverno Bülach: Feldstrasse 86, 8180 Bülach</x:t>
  </x:si>
  <x:si>
    <x:t xml:space="preserve">Caverno Bülach</x:t>
  </x:si>
  <x:si>
    <x:t xml:space="preserve">Chesselhuus: Tumbelenstrasse 6, 8330 Pfäffikon</x:t>
  </x:si>
  <x:si>
    <x:t xml:space="preserve">Chesselhuus</x:t>
  </x:si>
  <x:si>
    <x:t xml:space="preserve">Exil: Hardstrasse 245, 8005 Zürich; nur Spiele mit Schweizer Beteiligung</x:t>
  </x:si>
  <x:si>
    <x:t xml:space="preserve">Exil</x:t>
  </x:si>
  <x:si>
    <x:t xml:space="preserve">Frau Gerolds Garten: Geroldstrasse 23, 8005 Zürich</x:t>
  </x:si>
  <x:si>
    <x:t xml:space="preserve">Frau Gerolds Garten</x:t>
  </x:si>
  <x:si>
    <x:t xml:space="preserve">Freizeitanlage Sunnemetzg: Ludwig-Snell-Weg 1, 8700 Küsnacht</x:t>
  </x:si>
  <x:si>
    <x:t xml:space="preserve">Freizeitanlage Sunnemetzg</x:t>
  </x:si>
  <x:si>
    <x:t xml:space="preserve">Fusio: Max-Bill-Platz 15, 8050 Zürich</x:t>
  </x:si>
  <x:si>
    <x:t xml:space="preserve">Fusio</x:t>
  </x:si>
  <x:si>
    <x:t xml:space="preserve">Maag Halle Public Viewing: Hardstrasse 219, 8005 Zürich</x:t>
  </x:si>
  <x:si>
    <x:t xml:space="preserve">Maag Halle Public Viewing</x:t>
  </x:si>
  <x:si>
    <x:t xml:space="preserve">Micas Garten: Badenerstrasse 790, 8048 Zürich</x:t>
  </x:si>
  <x:si>
    <x:t xml:space="preserve">Micas Garten</x:t>
  </x:si>
  <x:si>
    <x:t xml:space="preserve">Moyo (MAAG Public Viewing): Maagplatz 3, 8005 Zürich</x:t>
  </x:si>
  <x:si>
    <x:t xml:space="preserve">Moyo (MAAG Public Viewing)</x:t>
  </x:si>
  <x:si>
    <x:t xml:space="preserve">Sihlcity: Kalanderplatz 1, 8045 Zürich</x:t>
  </x:si>
  <x:si>
    <x:t xml:space="preserve">Sihlcity</x:t>
  </x:si>
  <x:si>
    <x:t xml:space="preserve">Silo Bar: Kemptpark 2, 8310 Kemptthal; ausgewählte Spiele</x:t>
  </x:si>
  <x:si>
    <x:t xml:space="preserve">Silo Bar</x:t>
  </x:si>
  <x:si>
    <x:t xml:space="preserve">Turmareal Pop-Up: Theaterstrasse 18, 8400 Winterthur</x:t>
  </x:si>
  <x:si>
    <x:t xml:space="preserve">Turmareal Pop-Up</x:t>
  </x:si>
  <x:si>
    <x:t xml:space="preserve">Winti-Arena: Zeughausstrasse 67, 8400 Winterthur</x:t>
  </x:si>
  <x:si>
    <x:t xml:space="preserve">Winti-Arena</x:t>
  </x:si>
  <x:si>
    <x:t xml:space="preserve">WM-Public Viewing im aff: Büelstrasse 15, 8910 Affoltern am Albis</x:t>
  </x:si>
  <x:si>
    <x:t xml:space="preserve">WM-Public Viewing im aff</x:t>
  </x:si>
  <x:si>
    <x:t xml:space="preserve">Zum glatten Köbi: Kochstrasse 2, 8004 Zürich</x:t>
  </x:si>
  <x:si>
    <x:t xml:space="preserve">Zum glatten Köbi</x:t>
  </x:si>
</x:sst>
</file>

<file path=xl/styles.xml><?xml version="1.0" encoding="utf-8"?>
<x:styleSheet xmlns:x="http://schemas.openxmlformats.org/spreadsheetml/2006/main">
  <x:numFmts count="1">
    <x:numFmt numFmtId="164" formatCode="0.000000"/>
  </x:numFmts>
  <x:fonts count="9">
    <x:font>
      <x:sz val="11"/>
      <x:color rgb="000000"/>
      <x:name val="Carlito"/>
    </x:font>
    <x:font>
      <x:b/>
      <x:sz val="10"/>
      <x:color rgb="FFFFFF"/>
      <x:name val="Aptos"/>
    </x:font>
    <x:font>
      <x:sz val="10"/>
      <x:color theme="1"/>
      <x:name val="Aptos"/>
    </x:font>
    <x:font>
      <x:sz val="10"/>
      <x:color theme="1"/>
      <x:name val="Arial"/>
    </x:font>
    <x:font>
      <x:sz val="10"/>
      <x:color rgb="0000FF"/>
      <x:name val="Aptos"/>
    </x:font>
    <x:font>
      <x:color theme="1"/>
      <x:name val="Carlito"/>
    </x:font>
    <x:font>
      <x:b/>
      <x:sz val="11"/>
      <x:color rgb="FFFFFF"/>
      <x:name val="Carlito"/>
    </x:font>
    <x:font>
      <x:b/>
      <x:sz val="11"/>
      <x:color theme="1"/>
      <x:name val="Carlito"/>
    </x:font>
    <x:font>
      <x:sz val="10"/>
      <x:color rgb="0563C1"/>
      <x:name val="Aptos"/>
    </x:font>
  </x:fonts>
  <x:fills count="5">
    <x:fill>
      <x:patternFill patternType="none"/>
    </x:fill>
    <x:fill>
      <x:patternFill patternType="lightGray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 applyFont="1" applyAlignment="1"/>
  </x:cellStyleXfs>
  <x:cellXfs count="37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top"/>
    </x:xf>
    <x:xf numFmtId="0" fontId="2" fillId="0" borderId="0" xfId="0" applyFont="1" applyAlignment="1">
      <x:alignment vertical="top" wrapText="1"/>
    </x:xf>
    <x:xf numFmtId="164" fontId="3" fillId="0" borderId="0" xfId="0" applyNumberFormat="1" applyFont="1" applyAlignment="1">
      <x:alignment vertical="top" wrapText="1"/>
    </x:xf>
    <x:xf numFmtId="164" fontId="2" fillId="0" borderId="0" xfId="0" applyNumberFormat="1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164" fontId="2" fillId="0" borderId="0" xfId="0" applyNumberFormat="1" applyFont="1" applyAlignment="1">
      <x:alignment vertical="top" wrapText="1"/>
    </x:xf>
    <x:xf numFmtId="164" fontId="5" fillId="0" borderId="0" xfId="0" applyNumberFormat="1" applyFont="1" applyAlignment="1"/>
    <x:xf numFmtId="0" fontId="6" fillId="2" borderId="0" xfId="0" applyFont="1" applyAlignment="1">
      <x:alignment horizontal="center" vertical="center"/>
    </x:xf>
    <x:xf numFmtId="0" fontId="5" fillId="0" borderId="0" xfId="0" applyFont="1"/>
    <x:xf numFmtId="0" fontId="7" fillId="3" borderId="0" xfId="0" applyFont="1" applyFill="1"/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vertical="top"/>
    </x:xf>
    <x:xf numFmtId="0" fontId="2" fillId="0" borderId="0" xfId="0" applyNumberFormat="1" applyFont="1" applyFill="1" applyBorder="1" applyAlignment="1">
      <x:alignment vertical="top" wrapText="1"/>
    </x:xf>
    <x:xf numFmtId="164" fontId="3" fillId="0" borderId="0" xfId="0" applyNumberFormat="1" applyFont="1" applyFill="1" applyBorder="1" applyAlignment="1">
      <x:alignment vertical="top" wrapText="1"/>
    </x:xf>
    <x:xf numFmtId="164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164" fontId="5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7" fillId="3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top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0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bottom" wrapText="0"/>
    </x:xf>
    <x:xf numFmtId="0" fontId="6" fillId="4" borderId="0" xfId="0" applyNumberFormat="1" applyFont="1" applyFill="1" applyBorder="1" applyAlignment="1">
      <x:alignment vertical="bottom" wrapText="0"/>
    </x:xf>
    <x:xf numFmtId="0" fontId="6" fillId="4" borderId="0" xfId="0" applyNumberFormat="1" applyFont="1" applyFill="1" applyBorder="1" applyAlignment="1">
      <x:alignment horizontal="center" vertical="bottom" wrapText="0"/>
    </x:xf>
    <x:xf numFmtId="0" fontId="6" fillId="4" borderId="0" xfId="0" applyNumberFormat="1" applyFont="1" applyFill="1" applyBorder="1" applyAlignment="1">
      <x:alignment horizontal="center" vertical="center" wrapText="0"/>
    </x:xf>
    <x:xf numFmtId="0" fontId="5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7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47d2ddb9024c7f" /><Relationship Type="http://schemas.openxmlformats.org/officeDocument/2006/relationships/theme" Target="/xl/theme/theme1.xml" Id="R8fe9e191c6fb4a1c" /><Relationship Type="http://schemas.openxmlformats.org/officeDocument/2006/relationships/sharedStrings" Target="/xl/sharedStrings.xml" Id="Rd60b5c41064748d3" /><Relationship Type="http://schemas.openxmlformats.org/officeDocument/2006/relationships/worksheet" Target="/xl/worksheets/sheet1.xml" Id="R1f425c1547cc40a2" /><Relationship Type="http://schemas.openxmlformats.org/officeDocument/2006/relationships/worksheet" Target="/xl/worksheets/sheet2.xml" Id="R5d61995b320d4ddf" /></Relationships>
</file>

<file path=xl/tables/table1.xml><?xml version="1.0" encoding="utf-8"?>
<x:table xmlns:x="http://schemas.openxmlformats.org/spreadsheetml/2006/main" id="1" name="Table_1" displayName="Table_1" ref="A1:G113">
  <x:tableColumns count="7">
    <x:tableColumn id="1" name="Name + Adresse"/>
    <x:tableColumn id="2" name="LAT-Koordinaten"/>
    <x:tableColumn id="3" name="LOT-Koordinaten"/>
    <x:tableColumn id="4" name="Kanton"/>
    <x:tableColumn id="5" name="Name"/>
    <x:tableColumn id="6" name="Kurzbeschrieb"/>
    <x:tableColumn id="7" name="Link"/>
  </x:tableColumns>
  <x:tableStyleInfo name="Public Viewing-style" showFirstColumn="1" showLastColumn="1" showRowStripes="1"/>
</x:table>
</file>

<file path=xl/tables/table2.xml><?xml version="1.0" encoding="utf-8"?>
<x:table xmlns:x="http://schemas.openxmlformats.org/spreadsheetml/2006/main" id="2" name="Table_2" displayName="Table_2" ref="A1:D24">
  <x:tableColumns count="4">
    <x:tableColumn id="1" name="Kanton"/>
    <x:tableColumn id="2" name="Anzahl Einträge"/>
    <x:tableColumn id="3" name="Mit Link"/>
    <x:tableColumn id="4" name="Mit Koordinaten"/>
  </x:tableColumns>
  <x:tableStyleInfo name="Zusammenfassung-style" showFirstColumn="1" showLastColumn="1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cd29eb5ce648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995ae769284f8f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45" hidden="0" customWidth="1"/>
    <x:col min="2" max="3" width="16" customWidth="1"/>
    <x:col min="4" max="4" width="20" hidden="0" customWidth="1"/>
    <x:col min="5" max="6" width="20" customWidth="1"/>
    <x:col min="7" max="7" width="45" hidden="0" customWidth="1"/>
    <x:col min="8" max="27" width="8.630000114440918" customWidth="1"/>
    <x:col min="2" max="2" width="15" hidden="0" customWidth="1"/>
    <x:col min="3" max="3" width="15" hidden="0" customWidth="1"/>
    <x:col min="5" max="5" width="20" hidden="0" customWidth="1"/>
    <x:col min="6" max="6" width="60" hidden="0" customWidth="1"/>
  </x:cols>
  <x:sheetData>
    <x:row r="1" ht="21.75" customHeight="1">
      <x:c r="A1" s="25" t="s">
        <x:v>0</x:v>
      </x:c>
      <x:c r="B1" s="25" t="s">
        <x:v>1</x:v>
      </x:c>
      <x:c r="C1" s="25" t="s">
        <x:v>2</x:v>
      </x:c>
      <x:c r="D1" s="25" t="s">
        <x:v>3</x:v>
      </x:c>
      <x:c r="E1" s="25" t="s">
        <x:v>4</x:v>
      </x:c>
      <x:c r="F1" s="25" t="s">
        <x:v>5</x:v>
      </x:c>
      <x:c r="G1" s="25" t="s">
        <x:v>6</x:v>
      </x:c>
    </x:row>
    <x:row r="2">
      <x:c r="A2" s="14" t="s">
        <x:v>7</x:v>
      </x:c>
      <x:c r="B2" s="15">
        <x:v>47.391941</x:v>
      </x:c>
      <x:c r="C2" s="16">
        <x:v>8.060023</x:v>
      </x:c>
      <x:c r="D2" s="2" t="s">
        <x:v>8</x:v>
      </x:c>
      <x:c r="E2" s="2" t="s">
        <x:v>9</x:v>
      </x:c>
      <x:c r="F2" s="26" t="str">
        <x:v>Public-Viewing-Location in Aarau – ideal für gemeinsames Fussballschauen in entspannter Atmosphäre.</x:v>
      </x:c>
      <x:c r="G2" s="28" t="e">
        <x:f>HYPERLINK("https://www.heartbeat-aarau.ch/activity/public-viewing-in-aarau","https://www.heartbeat-aarau.ch/activity/public-viewing-in-aarau")</x:f>
      </x:c>
    </x:row>
    <x:row r="3">
      <x:c r="A3" s="14" t="s">
        <x:v>10</x:v>
      </x:c>
      <x:c r="B3" s="16">
        <x:v>47.474059</x:v>
      </x:c>
      <x:c r="C3" s="16">
        <x:v>8.307011</x:v>
      </x:c>
      <x:c r="D3" s="2" t="s">
        <x:v>8</x:v>
      </x:c>
      <x:c r="E3" s="2" t="s">
        <x:v>11</x:v>
      </x:c>
      <x:c r="F3" s="26" t="str">
        <x:v>Bar/Gastronomie in Baden – ideal für gemeinsames Fussballschauen in entspannter Atmosphäre.</x:v>
      </x:c>
      <x:c r="G3" s="28" t="e">
        <x:f>HYPERLINK("https://www.henrysbar.ch/baden/","https://www.henrysbar.ch/baden/")</x:f>
      </x:c>
    </x:row>
    <x:row r="4">
      <x:c r="A4" s="14" t="s">
        <x:v>12</x:v>
      </x:c>
      <x:c r="B4" s="16">
        <x:v>47.320199</x:v>
      </x:c>
      <x:c r="C4" s="16">
        <x:v>7.907171</x:v>
      </x:c>
      <x:c r="D4" s="2" t="s">
        <x:v>8</x:v>
      </x:c>
      <x:c r="E4" s="2" t="s">
        <x:v>13</x:v>
      </x:c>
      <x:c r="F4" s="26" t="str">
        <x:v>Public-Viewing-Location in Aarburg – ideal für gemeinsames Fussballschauen in entspannter Atmosphäre.</x:v>
      </x:c>
      <x:c r="G4" s="28" t="e">
        <x:f>HYPERLINK("https://musigburg.ch/musigburgevents/wm-public-viewing/","https://musigburg.ch/musigburgevents/wm-public-viewing/")</x:f>
      </x:c>
    </x:row>
    <x:row r="5">
      <x:c r="A5" s="14" t="s">
        <x:v>14</x:v>
      </x:c>
      <x:c r="B5" s="16">
        <x:v>47.3589</x:v>
      </x:c>
      <x:c r="C5" s="16">
        <x:v>8.1018</x:v>
      </x:c>
      <x:c r="D5" s="2" t="s">
        <x:v>8</x:v>
      </x:c>
      <x:c r="E5" s="2" t="s">
        <x:v>15</x:v>
      </x:c>
      <x:c r="F5" s="26" t="str">
        <x:v>Pub/Sportsbar in Gränichen – ideal für gemeinsames Fussballschauen in entspannter Atmosphäre.</x:v>
      </x:c>
      <x:c r="G5" s="28" t="e">
        <x:f>HYPERLINK("https://wynspub.ch/event/wm-2026-live-uebertragung-im-wyns-pub-2/","https://wynspub.ch/event/wm-2026-live-uebertragung-im-wyns-pub-2/")</x:f>
      </x:c>
    </x:row>
    <x:row r="6">
      <x:c r="A6" s="14" t="s">
        <x:v>16</x:v>
      </x:c>
      <x:c r="B6" s="16">
        <x:v>47.3319</x:v>
      </x:c>
      <x:c r="C6" s="16">
        <x:v>9.4085</x:v>
      </x:c>
      <x:c r="D6" s="2" t="s">
        <x:v>17</x:v>
      </x:c>
      <x:c r="E6" s="2" t="s">
        <x:v>18</x:v>
      </x:c>
      <x:c r="F6" s="26" t="str">
        <x:v>Pub/Sportsbar in Appenzell – ideal für gemeinsames Fussballschauen in entspannter Atmosphäre.</x:v>
      </x:c>
      <x:c r="G6" s="28" t="e">
        <x:f>HYPERLINK("https://www.gadeworld.ch/bars/pub-appenzell","https://www.gadeworld.ch/bars/pub-appenzell")</x:f>
      </x:c>
    </x:row>
    <x:row r="7">
      <x:c r="A7" s="17" t="s">
        <x:v>19</x:v>
      </x:c>
      <x:c r="B7" s="16">
        <x:v>47.3628</x:v>
      </x:c>
      <x:c r="C7" s="16">
        <x:v>9.4537</x:v>
      </x:c>
      <x:c r="D7" s="2" t="s">
        <x:v>17</x:v>
      </x:c>
      <x:c r="E7" s="2" t="s">
        <x:v>20</x:v>
      </x:c>
      <x:c r="F7" s="26" t="str">
        <x:v>Public-Viewing-Standort in Gais – ideal für gemeinsames Fussballschauen in entspannter Atmosphäre.</x:v>
      </x:c>
      <x:c r="G7" s="28" t="e">
        <x:f>HYPERLINK("https://www.instagram.com/stau.gais/","https://www.instagram.com/stau.gais/")</x:f>
      </x:c>
    </x:row>
    <x:row r="8">
      <x:c r="A8" s="14" t="s">
        <x:v>21</x:v>
      </x:c>
      <x:c r="B8" s="16">
        <x:v>47.5207</x:v>
      </x:c>
      <x:c r="C8" s="16">
        <x:v>7.6151</x:v>
      </x:c>
      <x:c r="D8" s="2" t="s">
        <x:v>22</x:v>
      </x:c>
      <x:c r="E8" s="2" t="s">
        <x:v>23</x:v>
      </x:c>
      <x:c r="F8" s="26" t="str">
        <x:v>Bar/Gastronomie in Münchenstein – ideal für gemeinsames Fussballschauen in entspannter Atmosphäre.</x:v>
      </x:c>
      <x:c r="G8" s="28" t="e">
        <x:f>HYPERLINK("https://www.birtel.ch/publicviewing","https://www.birtel.ch/publicviewing")</x:f>
      </x:c>
    </x:row>
    <x:row r="9">
      <x:c r="A9" s="14" t="s">
        <x:v>24</x:v>
      </x:c>
      <x:c r="B9" s="16">
        <x:v>47.5228</x:v>
      </x:c>
      <x:c r="C9" s="16">
        <x:v>7.6947</x:v>
      </x:c>
      <x:c r="D9" s="2" t="s">
        <x:v>22</x:v>
      </x:c>
      <x:c r="E9" s="2" t="s">
        <x:v>25</x:v>
      </x:c>
      <x:c r="F9" s="26" t="str">
        <x:v>Public-Viewing-Location in Pratteln – ideal für gemeinsames Fussballschauen in entspannter Atmosphäre.</x:v>
      </x:c>
      <x:c r="G9" s="28" t="e">
        <x:f>HYPERLINK("https://www.basel.com/de/veranstaltungskalender/wm-public-viewing-katar-vs.-schweiz-fe8300ea66","https://www.basel.com/de/veranstaltungskalender/wm-public-viewing-katar-vs.-schweiz-fe8300ea66")</x:f>
      </x:c>
    </x:row>
    <x:row r="10">
      <x:c r="A10" s="14" t="s">
        <x:v>26</x:v>
      </x:c>
      <x:c r="B10" s="16">
        <x:v>47.4845</x:v>
      </x:c>
      <x:c r="C10" s="16">
        <x:v>7.7342</x:v>
      </x:c>
      <x:c r="D10" s="2" t="s">
        <x:v>22</x:v>
      </x:c>
      <x:c r="E10" s="2" t="s">
        <x:v>27</x:v>
      </x:c>
      <x:c r="F10" s="26" t="str">
        <x:v>Public-Viewing-Location in Liestal – ideal für gemeinsames Fussballschauen in entspannter Atmosphäre.</x:v>
      </x:c>
      <x:c r="G10" s="28" t="e">
        <x:f>HYPERLINK("https://www.liestal.li/event/public-viewing-fussball-wm-elefantehuus","https://www.liestal.li/event/public-viewing-fussball-wm-elefantehuus")</x:f>
      </x:c>
    </x:row>
    <x:row r="11">
      <x:c r="A11" s="14" t="s">
        <x:v>28</x:v>
      </x:c>
      <x:c r="B11" s="16">
        <x:v>47.5762</x:v>
      </x:c>
      <x:c r="C11" s="16">
        <x:v>7.5608</x:v>
      </x:c>
      <x:c r="D11" s="2" t="s">
        <x:v>22</x:v>
      </x:c>
      <x:c r="E11" s="2" t="s">
        <x:v>29</x:v>
      </x:c>
      <x:c r="F11" s="26" t="str">
        <x:v>Arena/Eventfläche in Allschwil – ideal für gemeinsames Fussballschauen in entspannter Atmosphäre.</x:v>
      </x:c>
      <x:c r="G11" s="28" t="e">
        <x:f>HYPERLINK("https://www.instagram.com/p/DZCoszOCHMD/","https://www.instagram.com/p/DZCoszOCHMD/")</x:f>
      </x:c>
    </x:row>
    <x:row r="12">
      <x:c r="A12" s="17" t="s">
        <x:v>30</x:v>
      </x:c>
      <x:c r="B12" s="16">
        <x:v>47.5046</x:v>
      </x:c>
      <x:c r="C12" s="16">
        <x:v>7.7167</x:v>
      </x:c>
      <x:c r="D12" s="2" t="s">
        <x:v>22</x:v>
      </x:c>
      <x:c r="E12" s="2" t="s">
        <x:v>31</x:v>
      </x:c>
      <x:c r="F12" s="26" t="str">
        <x:v>Public-Viewing-Location in Frenkendorf – ideal für gemeinsames Fussballschauen in entspannter Atmosphäre.</x:v>
      </x:c>
      <x:c r="G12" s="28" t="e">
        <x:f>HYPERLINK("https://swissmegapark.ch/","https://swissmegapark.ch/")</x:f>
      </x:c>
    </x:row>
    <x:row r="13">
      <x:c r="A13" s="14" t="s">
        <x:v>32</x:v>
      </x:c>
      <x:c r="B13" s="16">
        <x:v>47.5522</x:v>
      </x:c>
      <x:c r="C13" s="16">
        <x:v>7.548</x:v>
      </x:c>
      <x:c r="D13" s="2" t="s">
        <x:v>22</x:v>
      </x:c>
      <x:c r="E13" s="2" t="s">
        <x:v>33</x:v>
      </x:c>
      <x:c r="F13" s="26" t="str">
        <x:v>Public-Viewing-Location in Allschwil – ideal für gemeinsames Fussballschauen in entspannter Atmosphäre.</x:v>
      </x:c>
      <x:c r="G13" s="28" t="e">
        <x:f>HYPERLINK("https://www.ziczac.ch/fcbfussball","https://www.ziczac.ch/fcbfussball")</x:f>
      </x:c>
    </x:row>
    <x:row r="14">
      <x:c r="A14" s="14" t="s">
        <x:v>34</x:v>
      </x:c>
      <x:c r="B14" s="16">
        <x:v>47.558</x:v>
      </x:c>
      <x:c r="C14" s="16">
        <x:v>7.5883</x:v>
      </x:c>
      <x:c r="D14" s="2" t="s">
        <x:v>35</x:v>
      </x:c>
      <x:c r="E14" s="2" t="s">
        <x:v>36</x:v>
      </x:c>
      <x:c r="F14" s="26" t="str">
        <x:v>Public-Viewing-Location in Basel – ideal für gemeinsames Fussballschauen in entspannter Atmosphäre.</x:v>
      </x:c>
      <x:c r="G14" s="28" t="e">
        <x:f>HYPERLINK("https://www.1777.ch/","https://www.1777.ch/")</x:f>
      </x:c>
    </x:row>
    <x:row r="15">
      <x:c r="A15" s="14" t="s">
        <x:v>37</x:v>
      </x:c>
      <x:c r="B15" s="16">
        <x:v>47.5678</x:v>
      </x:c>
      <x:c r="C15" s="16">
        <x:v>7.6076</x:v>
      </x:c>
      <x:c r="D15" s="2" t="s">
        <x:v>35</x:v>
      </x:c>
      <x:c r="E15" s="2" t="s">
        <x:v>38</x:v>
      </x:c>
      <x:c r="F15" s="26" t="str">
        <x:v>Open-Air- und Sommerlocation in Basel – ideal für gemeinsames Fussballschauen in entspannter Atmosphäre.</x:v>
      </x:c>
      <x:c r="G15" s="28" t="e">
        <x:f>HYPERLINK("https://www.garedunord.ch/de/programm","https://www.garedunord.ch/de/programm")</x:f>
      </x:c>
    </x:row>
    <x:row r="16">
      <x:c r="A16" s="14" t="s">
        <x:v>39</x:v>
      </x:c>
      <x:c r="B16" s="16">
        <x:v>47.5679</x:v>
      </x:c>
      <x:c r="C16" s="16">
        <x:v>7.6078</x:v>
      </x:c>
      <x:c r="D16" s="2" t="s">
        <x:v>35</x:v>
      </x:c>
      <x:c r="E16" s="2" t="s">
        <x:v>40</x:v>
      </x:c>
      <x:c r="F16" s="26" t="str">
        <x:v>Bar/Gastronomie in Basel mit Fokus auf Spiele der Schweiz und Deutschlands – ideal für gemeinsames Fussballschauen in entspannter Atmosphäre.</x:v>
      </x:c>
      <x:c r="G16" s="28" t="e">
        <x:f>HYPERLINK("https://www.garedunord.ch/de/programm/3160/fifa-fussball-weltmeisterschaft-2026-public-viewing-in-der-bar-du-nord","https://www.garedunord.ch/de/programm/3160/fifa-fussball-weltmeisterschaft-2026-public-viewing-in-der-bar-du-nord")</x:f>
      </x:c>
    </x:row>
    <x:row r="17">
      <x:c r="A17" s="14" t="s">
        <x:v>41</x:v>
      </x:c>
      <x:c r="B17" s="16">
        <x:v>47.5646</x:v>
      </x:c>
      <x:c r="C17" s="16">
        <x:v>7.5913</x:v>
      </x:c>
      <x:c r="D17" s="2" t="s">
        <x:v>35</x:v>
      </x:c>
      <x:c r="E17" s="2" t="s">
        <x:v>42</x:v>
      </x:c>
      <x:c r="F17" s="26" t="str">
        <x:v>Bar/Gastronomie in Basel – ideal für gemeinsames Fussballschauen in entspannter Atmosphäre.</x:v>
      </x:c>
      <x:c r="G17" s="28" t="e">
        <x:f>HYPERLINK("https://didioffensiv.ch/de/","https://didioffensiv.ch/de/")</x:f>
      </x:c>
    </x:row>
    <x:row r="18">
      <x:c r="A18" s="14" t="s">
        <x:v>43</x:v>
      </x:c>
      <x:c r="B18" s="16">
        <x:v>47.5399</x:v>
      </x:c>
      <x:c r="C18" s="16">
        <x:v>7.6019</x:v>
      </x:c>
      <x:c r="D18" s="2" t="s">
        <x:v>35</x:v>
      </x:c>
      <x:c r="E18" s="2" t="s">
        <x:v>44</x:v>
      </x:c>
      <x:c r="F18" s="26" t="str">
        <x:v>Public-Viewing-Location in Basel – ideal für gemeinsames Fussballschauen in entspannter Atmosphäre.</x:v>
      </x:c>
      <x:c r="G18" s="28" t="e">
        <x:f>HYPERLINK("https://www.dasviertel.ch/wm2026","https://www.dasviertel.ch/wm2026")</x:f>
      </x:c>
    </x:row>
    <x:row r="19">
      <x:c r="A19" s="14" t="s">
        <x:v>45</x:v>
      </x:c>
      <x:c r="B19" s="16">
        <x:v>47.5663</x:v>
      </x:c>
      <x:c r="C19" s="16">
        <x:v>7.5765</x:v>
      </x:c>
      <x:c r="D19" s="2" t="s">
        <x:v>35</x:v>
      </x:c>
      <x:c r="E19" s="2" t="s">
        <x:v>46</x:v>
      </x:c>
      <x:c r="F19" s="26" t="str">
        <x:v>Bar/Gastronomie in Basel – ideal für gemeinsames Fussballschauen in entspannter Atmosphäre.</x:v>
      </x:c>
      <x:c r="G19" s="28" t="e">
        <x:f>HYPERLINK("https://www.voltabraeu.ch/de/wm2026/","https://www.voltabraeu.ch/de/wm2026/")</x:f>
      </x:c>
    </x:row>
    <x:row r="20">
      <x:c r="A20" s="14" t="s">
        <x:v>47</x:v>
      </x:c>
      <x:c r="B20" s="16">
        <x:v>47.5429</x:v>
      </x:c>
      <x:c r="C20" s="16">
        <x:v>7.5901</x:v>
      </x:c>
      <x:c r="D20" s="2" t="s">
        <x:v>35</x:v>
      </x:c>
      <x:c r="E20" s="2" t="s">
        <x:v>48</x:v>
      </x:c>
      <x:c r="F20" s="26" t="str">
        <x:v>Eventlocation in Basel – ideal für gemeinsames Fussballschauen in entspannter Atmosphäre.</x:v>
      </x:c>
      <x:c r="G20" s="28" t="e">
        <x:f>HYPERLINK("https://werkacht.ch/","https://werkacht.ch/")</x:f>
      </x:c>
    </x:row>
    <x:row r="21" ht="15.75" customHeight="1">
      <x:c r="A21" s="14" t="s">
        <x:v>49</x:v>
      </x:c>
      <x:c r="B21" s="16">
        <x:v>46.9568</x:v>
      </x:c>
      <x:c r="C21" s="16">
        <x:v>7.4535</x:v>
      </x:c>
      <x:c r="D21" s="2" t="s">
        <x:v>50</x:v>
      </x:c>
      <x:c r="E21" s="2" t="s">
        <x:v>51</x:v>
      </x:c>
      <x:c r="F21" s="26" t="str">
        <x:v>Bar/Gastronomie in Bern – ideal für gemeinsames Fussballschauen in entspannter Atmosphäre.</x:v>
      </x:c>
      <x:c r="G21" s="28" t="e">
        <x:f>HYPERLINK("https://www.bar99.ch/","https://www.bar99.ch/")</x:f>
      </x:c>
    </x:row>
    <x:row r="22" ht="15.75" customHeight="1">
      <x:c r="A22" s="14" t="s">
        <x:v>52</x:v>
      </x:c>
      <x:c r="B22" s="16">
        <x:v>46.9425</x:v>
      </x:c>
      <x:c r="C22" s="16">
        <x:v>7.7872</x:v>
      </x:c>
      <x:c r="D22" s="2" t="s">
        <x:v>50</x:v>
      </x:c>
      <x:c r="E22" s="2" t="s">
        <x:v>53</x:v>
      </x:c>
      <x:c r="F22" s="26" t="str">
        <x:v>Open-Air- und Sommerlocation in Langnau – ideal für gemeinsames Fussballschauen in entspannter Atmosphäre.</x:v>
      </x:c>
      <x:c r="G22" s="28" t="e">
        <x:f>HYPERLINK("https://www.fernweh-langnau.ch/details-registrierung/public-viewing-fussball-wm-26","https://www.fernweh-langnau.ch/details-registrierung/public-viewing-fussball-wm-26")</x:f>
      </x:c>
    </x:row>
    <x:row r="23" ht="15.75" customHeight="1">
      <x:c r="A23" s="14" t="s">
        <x:v>54</x:v>
      </x:c>
      <x:c r="B23" s="16">
        <x:v>46.9504</x:v>
      </x:c>
      <x:c r="C23" s="16">
        <x:v>7.4384</x:v>
      </x:c>
      <x:c r="D23" s="2" t="s">
        <x:v>50</x:v>
      </x:c>
      <x:c r="E23" s="2" t="s">
        <x:v>55</x:v>
      </x:c>
      <x:c r="F23" s="26" t="str">
        <x:v>Open-Air- und Sommerlocation in Bern – ideal für gemeinsames Fussballschauen in entspannter Atmosphäre.</x:v>
      </x:c>
      <x:c r="G23" s="28" t="e">
        <x:f>HYPERLINK("https://www.summerbeach.ch/?page_id=389","https://www.summerbeach.ch/?page_id=389")</x:f>
      </x:c>
    </x:row>
    <x:row r="24" ht="15.75" customHeight="1">
      <x:c r="A24" s="14" t="s">
        <x:v>56</x:v>
      </x:c>
      <x:c r="B24" s="16">
        <x:v>47.1885</x:v>
      </x:c>
      <x:c r="C24" s="16">
        <x:v>7.7061</x:v>
      </x:c>
      <x:c r="D24" s="2" t="s">
        <x:v>50</x:v>
      </x:c>
      <x:c r="E24" s="2" t="s">
        <x:v>57</x:v>
      </x:c>
      <x:c r="F24" s="26" t="str">
        <x:v>Pub/Sportsbar in Herzogenbuchsee – ideal für gemeinsames Fussballschauen in entspannter Atmosphäre.</x:v>
      </x:c>
      <x:c r="G24" s="28" t="e">
        <x:f>HYPERLINK("https://www.jokers-pub.ch/","https://www.jokers-pub.ch/")</x:f>
      </x:c>
    </x:row>
    <x:row r="25" ht="15.75" customHeight="1">
      <x:c r="A25" s="14" t="s">
        <x:v>58</x:v>
      </x:c>
      <x:c r="B25" s="16">
        <x:v>46.9473</x:v>
      </x:c>
      <x:c r="C25" s="16">
        <x:v>7.4382</x:v>
      </x:c>
      <x:c r="D25" s="2" t="s">
        <x:v>50</x:v>
      </x:c>
      <x:c r="E25" s="2" t="s">
        <x:v>59</x:v>
      </x:c>
      <x:c r="F25" s="26" t="str">
        <x:v>Public-Viewing-Location in Bern – ideal für gemeinsames Fussballschauen in entspannter Atmosphäre.</x:v>
      </x:c>
      <x:c r="G25" s="28" t="e">
        <x:f>HYPERLINK("https://www.piazza-bar.ch/","https://www.piazza-bar.ch/")</x:f>
      </x:c>
    </x:row>
    <x:row r="26" ht="15.75" customHeight="1">
      <x:c r="A26" s="14" t="s">
        <x:v>60</x:v>
      </x:c>
      <x:c r="B26" s="16">
        <x:v>46.9434</x:v>
      </x:c>
      <x:c r="C26" s="16">
        <x:v>7.4443</x:v>
      </x:c>
      <x:c r="D26" s="2" t="s">
        <x:v>50</x:v>
      </x:c>
      <x:c r="E26" s="2" t="s">
        <x:v>61</x:v>
      </x:c>
      <x:c r="F26" s="26" t="str">
        <x:v>Restaurant/Gastronomie in Bern – ideal für gemeinsames Fussballschauen in entspannter Atmosphäre.</x:v>
      </x:c>
      <x:c r="G26" s="28" t="e">
        <x:f>HYPERLINK("https://www.restaurant-marzilibruecke.ch/","https://www.restaurant-marzilibruecke.ch/")</x:f>
      </x:c>
    </x:row>
    <x:row r="27" ht="15.75" customHeight="1">
      <x:c r="A27" s="14" t="s">
        <x:v>62</x:v>
      </x:c>
      <x:c r="B27" s="16">
        <x:v>46.9346</x:v>
      </x:c>
      <x:c r="C27" s="16">
        <x:v>7.4199</x:v>
      </x:c>
      <x:c r="D27" s="2" t="s">
        <x:v>50</x:v>
      </x:c>
      <x:c r="E27" s="2" t="s">
        <x:v>63</x:v>
      </x:c>
      <x:c r="F27" s="26" t="str">
        <x:v>Restaurant/Gastronomie in Bern-Liebefeld – ideal für gemeinsames Fussballschauen in entspannter Atmosphäre.</x:v>
      </x:c>
      <x:c r="G27" s="28" t="e">
        <x:f>HYPERLINK("https://www.schlawiner.net/","https://www.schlawiner.net/")</x:f>
      </x:c>
    </x:row>
    <x:row r="28" ht="15.75" customHeight="1">
      <x:c r="A28" s="14" t="s">
        <x:v>64</x:v>
      </x:c>
      <x:c r="B28" s="16">
        <x:v>46.9238</x:v>
      </x:c>
      <x:c r="C28" s="16">
        <x:v>7.415</x:v>
      </x:c>
      <x:c r="D28" s="2" t="s">
        <x:v>50</x:v>
      </x:c>
      <x:c r="E28" s="2" t="s">
        <x:v>65</x:v>
      </x:c>
      <x:c r="F28" s="26" t="str">
        <x:v>Eventlocation in Köniz – ideal für gemeinsames Fussballschauen in entspannter Atmosphäre.</x:v>
      </x:c>
      <x:c r="G28" s="28" t="e">
        <x:f>HYPERLINK("https://www.kulturhof.ch/","https://www.kulturhof.ch/")</x:f>
      </x:c>
    </x:row>
    <x:row r="29" ht="15.75" customHeight="1">
      <x:c r="A29" s="14" t="s">
        <x:v>66</x:v>
      </x:c>
      <x:c r="B29" s="16">
        <x:v>47.1244</x:v>
      </x:c>
      <x:c r="C29" s="16">
        <x:v>7.2382</x:v>
      </x:c>
      <x:c r="D29" s="2" t="s">
        <x:v>50</x:v>
      </x:c>
      <x:c r="E29" s="2" t="s">
        <x:v>67</x:v>
      </x:c>
      <x:c r="F29" s="26" t="str">
        <x:v>Open-Air- und Sommerlocation in Nidau – ideal für gemeinsames Fussballschauen in entspannter Atmosphäre.</x:v>
      </x:c>
      <x:c r="G29" s="28" t="e">
        <x:f>HYPERLINK("https://www.seemaetteli.ch/webroot/source/index.php","https://www.seemaetteli.ch/webroot/source/index.php")</x:f>
      </x:c>
    </x:row>
    <x:row r="30" ht="15.75" customHeight="1">
      <x:c r="A30" s="14" t="s">
        <x:v>68</x:v>
      </x:c>
      <x:c r="B30" s="16">
        <x:v>46.9417</x:v>
      </x:c>
      <x:c r="C30" s="16">
        <x:v>7.4601</x:v>
      </x:c>
      <x:c r="D30" s="2" t="s">
        <x:v>50</x:v>
      </x:c>
      <x:c r="E30" s="2" t="s">
        <x:v>69</x:v>
      </x:c>
      <x:c r="F30" s="26" t="str">
        <x:v>Bar/Gastronomie in Bern – ideal für gemeinsames Fussballschauen in entspannter Atmosphäre.</x:v>
      </x:c>
      <x:c r="G30" s="28" t="e">
        <x:f>HYPERLINK("https://www.sportbarbern.ch/","https://www.sportbarbern.ch/")</x:f>
      </x:c>
    </x:row>
    <x:row r="31" ht="15.75" customHeight="1">
      <x:c r="A31" s="14" t="s">
        <x:v>70</x:v>
      </x:c>
      <x:c r="B31" s="16">
        <x:v>46.9502</x:v>
      </x:c>
      <x:c r="C31" s="16">
        <x:v>7.4386</x:v>
      </x:c>
      <x:c r="D31" s="2" t="s">
        <x:v>50</x:v>
      </x:c>
      <x:c r="E31" s="2" t="s">
        <x:v>71</x:v>
      </x:c>
      <x:c r="F31" s="26" t="str">
        <x:v>Eventlocation in Bern – ideal für gemeinsames Fussballschauen in entspannter Atmosphäre.</x:v>
      </x:c>
      <x:c r="G31" s="28" t="e">
        <x:f>HYPERLINK("https://www.stellwerk.be/events/publicviewing-260616","https://www.stellwerk.be/events/publicviewing-260616")</x:f>
      </x:c>
    </x:row>
    <x:row r="32" ht="15.75" customHeight="1">
      <x:c r="A32" s="14" t="s">
        <x:v>72</x:v>
      </x:c>
      <x:c r="B32" s="16">
        <x:v>46.7586</x:v>
      </x:c>
      <x:c r="C32" s="16">
        <x:v>7.6285</x:v>
      </x:c>
      <x:c r="D32" s="2" t="s">
        <x:v>50</x:v>
      </x:c>
      <x:c r="E32" s="2" t="s">
        <x:v>73</x:v>
      </x:c>
      <x:c r="F32" s="26" t="str">
        <x:v>Public-Viewing-Location in Thun – ideal für gemeinsames Fussballschauen in entspannter Atmosphäre.</x:v>
      </x:c>
      <x:c r="G32" s="28" t="e">
        <x:f>HYPERLINK("https://www.thun.ch/","https://www.thun.ch/")</x:f>
      </x:c>
    </x:row>
    <x:row r="33" ht="15.75" customHeight="1">
      <x:c r="A33" s="14" t="s">
        <x:v>74</x:v>
      </x:c>
      <x:c r="B33" s="16">
        <x:v>46.6167</x:v>
      </x:c>
      <x:c r="C33" s="16">
        <x:v>7.0565</x:v>
      </x:c>
      <x:c r="D33" s="2" t="s">
        <x:v>75</x:v>
      </x:c>
      <x:c r="E33" s="2" t="s">
        <x:v>76</x:v>
      </x:c>
      <x:c r="F33" s="26" t="str">
        <x:v>Arena/Eventfläche in Bulle – ideal für gemeinsames Fussballschauen in entspannter Atmosphäre.</x:v>
      </x:c>
      <x:c r="G33" s="28" t="e">
        <x:f>HYPERLINK("https://fribourg.ch/de/la-gruyere/veranstaltungen/woodball-arena-coupe-du-monde/","https://fribourg.ch/de/la-gruyere/veranstaltungen/woodball-arena-coupe-du-monde/")</x:f>
      </x:c>
    </x:row>
    <x:row r="34" ht="15.75" customHeight="1">
      <x:c r="A34" s="14" t="s">
        <x:v>77</x:v>
      </x:c>
      <x:c r="B34" s="16">
        <x:v>46.2107</x:v>
      </x:c>
      <x:c r="C34" s="16">
        <x:v>6.1426</x:v>
      </x:c>
      <x:c r="D34" s="2" t="s">
        <x:v>78</x:v>
      </x:c>
      <x:c r="E34" s="2" t="s">
        <x:v>79</x:v>
      </x:c>
      <x:c r="F34" s="26" t="str">
        <x:v>Pub/Sportsbar in Genève – ideal für gemeinsames Fussballschauen in entspannter Atmosphäre.</x:v>
      </x:c>
      <x:c r="G34" s="28" t="e">
        <x:f>HYPERLINK("https://astoria-geneve.ch/britannia-pub/","https://astoria-geneve.ch/britannia-pub/")</x:f>
      </x:c>
    </x:row>
    <x:row r="35" ht="15.75" customHeight="1">
      <x:c r="A35" s="14" t="s">
        <x:v>80</x:v>
      </x:c>
      <x:c r="B35" s="16">
        <x:v>46.2004</x:v>
      </x:c>
      <x:c r="C35" s="16">
        <x:v>6.158</x:v>
      </x:c>
      <x:c r="D35" s="2" t="s">
        <x:v>78</x:v>
      </x:c>
      <x:c r="E35" s="2" t="s">
        <x:v>81</x:v>
      </x:c>
      <x:c r="F35" s="26" t="str">
        <x:v>Pub/Sportsbar in Genève – ideal für gemeinsames Fussballschauen in entspannter Atmosphäre.</x:v>
      </x:c>
      <x:c r="G35" s="28" t="e">
        <x:f>HYPERLINK("https://www.crossroads-pub.com/","https://www.crossroads-pub.com/")</x:f>
      </x:c>
    </x:row>
    <x:row r="36" ht="15.75" customHeight="1">
      <x:c r="A36" s="14" t="s">
        <x:v>82</x:v>
      </x:c>
      <x:c r="B36" s="16">
        <x:v>46.2102</x:v>
      </x:c>
      <x:c r="C36" s="16">
        <x:v>6.1465</x:v>
      </x:c>
      <x:c r="D36" s="2" t="s">
        <x:v>78</x:v>
      </x:c>
      <x:c r="E36" s="2" t="s">
        <x:v>83</x:v>
      </x:c>
      <x:c r="F36" s="26" t="str">
        <x:v>Pub/Sportsbar in Genève – ideal für gemeinsames Fussballschauen in entspannter Atmosphäre.</x:v>
      </x:c>
      <x:c r="G36" s="28" t="e">
        <x:f>HYPERLINK("https://www.instagram.com/granddukepub.geneva/","https://www.instagram.com/granddukepub.geneva/")</x:f>
      </x:c>
    </x:row>
    <x:row r="37" ht="15.75" customHeight="1">
      <x:c r="A37" s="14" t="s">
        <x:v>84</x:v>
      </x:c>
      <x:c r="B37" s="16">
        <x:v>46.1949</x:v>
      </x:c>
      <x:c r="C37" s="16">
        <x:v>6.1441</x:v>
      </x:c>
      <x:c r="D37" s="2" t="s">
        <x:v>78</x:v>
      </x:c>
      <x:c r="E37" s="2" t="s">
        <x:v>85</x:v>
      </x:c>
      <x:c r="F37" s="26" t="str">
        <x:v>Pub/Sportsbar in Genève – ideal für gemeinsames Fussballschauen in entspannter Atmosphäre.</x:v>
      </x:c>
      <x:c r="G37" s="28" t="e">
        <x:f>HYPERLINK("https://www.ladyg.ch/","https://www.ladyg.ch/")</x:f>
      </x:c>
    </x:row>
    <x:row r="38" ht="15.75" customHeight="1">
      <x:c r="A38" s="14" t="s">
        <x:v>86</x:v>
      </x:c>
      <x:c r="B38" s="16">
        <x:v>46.2139</x:v>
      </x:c>
      <x:c r="C38" s="16">
        <x:v>6.146</x:v>
      </x:c>
      <x:c r="D38" s="2" t="s">
        <x:v>78</x:v>
      </x:c>
      <x:c r="E38" s="2" t="s">
        <x:v>87</x:v>
      </x:c>
      <x:c r="F38" s="26" t="str">
        <x:v>Pub/Sportsbar in Genève – ideal für gemeinsames Fussballschauen in entspannter Atmosphäre.</x:v>
      </x:c>
      <x:c r="G38" s="28" t="e">
        <x:f>HYPERLINK("https://www.pickwick.ch/","https://www.pickwick.ch/")</x:f>
      </x:c>
    </x:row>
    <x:row r="39" ht="15.75" customHeight="1">
      <x:c r="A39" s="14" t="s">
        <x:v>88</x:v>
      </x:c>
      <x:c r="B39" s="16">
        <x:v>46.2071</x:v>
      </x:c>
      <x:c r="C39" s="16">
        <x:v>6.1439</x:v>
      </x:c>
      <x:c r="D39" s="2" t="s">
        <x:v>78</x:v>
      </x:c>
      <x:c r="E39" s="2" t="s">
        <x:v>89</x:v>
      </x:c>
      <x:c r="F39" s="26" t="str">
        <x:v>Pub/Sportsbar in Genève – ideal für gemeinsames Fussballschauen in entspannter Atmosphäre.</x:v>
      </x:c>
      <x:c r="G39" s="28" t="e">
        <x:f>HYPERLINK("https://www.irishpubsgeneva.ch/mulligans-irish-pub/","https://www.irishpubsgeneva.ch/mulligans-irish-pub/")</x:f>
      </x:c>
    </x:row>
    <x:row r="40" ht="15.75" customHeight="1">
      <x:c r="A40" s="14" t="s">
        <x:v>90</x:v>
      </x:c>
      <x:c r="B40" s="16">
        <x:v>46.7275</x:v>
      </x:c>
      <x:c r="C40" s="16">
        <x:v>9.5572</x:v>
      </x:c>
      <x:c r="D40" s="2" t="s">
        <x:v>91</x:v>
      </x:c>
      <x:c r="E40" s="2" t="s">
        <x:v>92</x:v>
      </x:c>
      <x:c r="F40" s="26" t="str">
        <x:v>Hotel- und Eventlocation in Lenzerheide/Lai – ideal für gemeinsames Fussballschauen in entspannter Atmosphäre.</x:v>
      </x:c>
      <x:c r="G40" s="28" t="e">
        <x:f>HYPERLINK("https://www.graubuenden.ch/de/veranstaltungen/fussball-wm-public-viewing#veranstaltungsort","https://www.graubuenden.ch/de/veranstaltungen/fussball-wm-public-viewing#veranstaltungsort")</x:f>
      </x:c>
    </x:row>
    <x:row r="41" ht="15.75" customHeight="1">
      <x:c r="A41" s="14" t="s">
        <x:v>93</x:v>
      </x:c>
      <x:c r="B41" s="16">
        <x:v>46.847</x:v>
      </x:c>
      <x:c r="C41" s="16">
        <x:v>9.5308</x:v>
      </x:c>
      <x:c r="D41" s="2" t="s">
        <x:v>91</x:v>
      </x:c>
      <x:c r="E41" s="2" t="s">
        <x:v>94</x:v>
      </x:c>
      <x:c r="F41" s="26" t="str">
        <x:v>Public-Viewing-Location in Chur für die angegebene Partie – ideal für gemeinsames Fussballschauen in entspannter Atmosphäre.</x:v>
      </x:c>
      <x:c r="G41" s="28" t="e">
        <x:f>HYPERLINK("https://www.chur.graubuenden.ch/de/service/events-veranstaltungen/radio-grischa-public-viewing-fussball-wm-2026-schweiz-vs-katar#veranstaltungsort","https://www.chur.graubuenden.ch/de/service/events-veranstaltungen/radio-grischa-public-viewing-fussball-wm-2026-schweiz-vs-katar#veranstaltungsort")</x:f>
      </x:c>
    </x:row>
    <x:row r="42" ht="15.75" customHeight="1">
      <x:c r="A42" s="14" t="s">
        <x:v>95</x:v>
      </x:c>
      <x:c r="B42" s="16">
        <x:v>46.8194</x:v>
      </x:c>
      <x:c r="C42" s="16">
        <x:v>9.2651</x:v>
      </x:c>
      <x:c r="D42" s="2" t="s">
        <x:v>91</x:v>
      </x:c>
      <x:c r="E42" s="2" t="s">
        <x:v>96</x:v>
      </x:c>
      <x:c r="F42" s="26" t="str">
        <x:v>Public-Viewing-Location in Laax Murschetg – ideal für gemeinsames Fussballschauen in entspannter Atmosphäre.</x:v>
      </x:c>
      <x:c r="G42" s="28" t="e">
        <x:f>HYPERLINK("https://www.graubuenden.ch/de/veranstaltungen/wm-lounge-public-viewing","https://www.graubuenden.ch/de/veranstaltungen/wm-lounge-public-viewing")</x:f>
      </x:c>
    </x:row>
    <x:row r="43" ht="15.75" customHeight="1">
      <x:c r="A43" s="14" t="s">
        <x:v>97</x:v>
      </x:c>
      <x:c r="B43" s="16">
        <x:v>46.8492</x:v>
      </x:c>
      <x:c r="C43" s="16">
        <x:v>9.5328</x:v>
      </x:c>
      <x:c r="D43" s="2" t="s">
        <x:v>91</x:v>
      </x:c>
      <x:c r="E43" s="2" t="s">
        <x:v>98</x:v>
      </x:c>
      <x:c r="F43" s="26" t="str">
        <x:v>Eventlocation in Chur – ideal für gemeinsames Fussballschauen in entspannter Atmosphäre.</x:v>
      </x:c>
      <x:c r="G43" s="28" t="e">
        <x:f>HYPERLINK("https://werkstattchur.ch/","https://werkstattchur.ch/")</x:f>
      </x:c>
    </x:row>
    <x:row r="44" ht="15.75" customHeight="1">
      <x:c r="A44" s="14" t="s">
        <x:v>99</x:v>
      </x:c>
      <x:c r="B44" s="16">
        <x:v>47.3601</x:v>
      </x:c>
      <x:c r="C44" s="16">
        <x:v>7.3478</x:v>
      </x:c>
      <x:c r="D44" s="2" t="s">
        <x:v>100</x:v>
      </x:c>
      <x:c r="E44" s="2" t="s">
        <x:v>101</x:v>
      </x:c>
      <x:c r="F44" s="26" t="str">
        <x:v>Public-Viewing-Standort in Delémont – ideal für gemeinsames Fussballschauen in entspannter Atmosphäre.</x:v>
      </x:c>
      <x:c r="G44" s="28" t="e">
        <x:f>HYPERLINK("https://www.j3l.ch/en/P185182/things-to-do/sport-leisure/winter-activities/delemont-regional-ice-rink","https://www.j3l.ch/en/P185182/things-to-do/sport-leisure/winter-activities/delemont-regional-ice-rink")</x:f>
      </x:c>
    </x:row>
    <x:row r="45" ht="15.75" customHeight="1">
      <x:c r="A45" s="14" t="s">
        <x:v>102</x:v>
      </x:c>
      <x:c r="B45" s="16">
        <x:v>47.3619</x:v>
      </x:c>
      <x:c r="C45" s="16">
        <x:v>7.351</x:v>
      </x:c>
      <x:c r="D45" s="2" t="s">
        <x:v>100</x:v>
      </x:c>
      <x:c r="E45" s="2" t="s">
        <x:v>103</x:v>
      </x:c>
      <x:c r="F45" s="26" t="str">
        <x:v>Public-Viewing-Location in Delémont – ideal für gemeinsames Fussballschauen in entspannter Atmosphäre.</x:v>
      </x:c>
      <x:c r="G45" s="28" t="e">
        <x:f>HYPERLINK("https://www.j3l.ch/fr/P214813/a-faire/manifestations/sport/public-viewing-de-football-au-bord-du-lac-de-bienne","https://www.j3l.ch/fr/P214813/a-faire/manifestations/sport/public-viewing-de-football-au-bord-du-lac-de-bienne")</x:f>
      </x:c>
    </x:row>
    <x:row r="46" ht="15.75" customHeight="1">
      <x:c r="A46" s="14" t="s">
        <x:v>104</x:v>
      </x:c>
      <x:c r="B46" s="16">
        <x:v>47.1414</x:v>
      </x:c>
      <x:c r="C46" s="16">
        <x:v>9.5219</x:v>
      </x:c>
      <x:c r="D46" s="2" t="s">
        <x:v>105</x:v>
      </x:c>
      <x:c r="E46" s="2" t="s">
        <x:v>106</x:v>
      </x:c>
      <x:c r="F46" s="26" t="str">
        <x:v>Public-Viewing-Standort in Vaduz – ideal für gemeinsames Fussballschauen in entspannter Atmosphäre.</x:v>
      </x:c>
      <x:c r="G46" s="28" t="e">
        <x:f>HYPERLINK("https://www.vaduz.li/veranstaltungen/wm-meile-vaduz-grosstes-public-viewing-der-region","https://www.vaduz.li/veranstaltungen/wm-meile-vaduz-grosstes-public-viewing-der-region")</x:f>
      </x:c>
    </x:row>
    <x:row r="47" ht="15.75" customHeight="1">
      <x:c r="A47" s="14" t="s">
        <x:v>107</x:v>
      </x:c>
      <x:c r="B47" s="16">
        <x:v>47.0532</x:v>
      </x:c>
      <x:c r="C47" s="16">
        <x:v>8.3099</x:v>
      </x:c>
      <x:c r="D47" s="2" t="s">
        <x:v>108</x:v>
      </x:c>
      <x:c r="E47" s="2" t="s">
        <x:v>109</x:v>
      </x:c>
      <x:c r="F47" s="26" t="str">
        <x:v>Pub/Sportsbar in Luzern – ideal für gemeinsames Fussballschauen in entspannter Atmosphäre.</x:v>
      </x:c>
      <x:c r="G47" s="28" t="e">
        <x:f>HYPERLINK("https://www.anfield.ch/","https://www.anfield.ch/")</x:f>
      </x:c>
    </x:row>
    <x:row r="48" ht="15.75" customHeight="1">
      <x:c r="A48" s="14" t="s">
        <x:v>110</x:v>
      </x:c>
      <x:c r="B48" s="16">
        <x:v>47.184</x:v>
      </x:c>
      <x:c r="C48" s="16">
        <x:v>8.282</x:v>
      </x:c>
      <x:c r="D48" s="2" t="s">
        <x:v>108</x:v>
      </x:c>
      <x:c r="E48" s="2" t="s">
        <x:v>111</x:v>
      </x:c>
      <x:c r="F48" s="26" t="str">
        <x:v>Open-Air- und Sommerlocation in Baldegg – ideal für gemeinsames Fussballschauen in entspannter Atmosphäre.</x:v>
      </x:c>
      <x:c r="G48" s="28" t="e">
        <x:f>HYPERLINK("https://www.badi-baldegg.ch/","https://www.badi-baldegg.ch/")</x:f>
      </x:c>
    </x:row>
    <x:row r="49" ht="15.75" customHeight="1">
      <x:c r="A49" s="14" t="s">
        <x:v>112</x:v>
      </x:c>
      <x:c r="B49" s="16">
        <x:v>47.0525</x:v>
      </x:c>
      <x:c r="C49" s="16">
        <x:v>8.2944</x:v>
      </x:c>
      <x:c r="D49" s="2" t="s">
        <x:v>108</x:v>
      </x:c>
      <x:c r="E49" s="2" t="s">
        <x:v>113</x:v>
      </x:c>
      <x:c r="F49" s="26" t="str">
        <x:v>Hotel- und Eventlocation in Luzern – ideal für gemeinsames Fussballschauen in entspannter Atmosphäre.</x:v>
      </x:c>
      <x:c r="G49" s="28" t="e">
        <x:f>HYPERLINK("https://www.radio-luzern.ch/koenigliches-fussballvergnuegen-auf-dem-chateau-guetsch/","https://www.radio-luzern.ch/koenigliches-fussballvergnuegen-auf-dem-chateau-guetsch/")</x:f>
      </x:c>
    </x:row>
    <x:row r="50" ht="15.75" customHeight="1">
      <x:c r="A50" s="14" t="s">
        <x:v>114</x:v>
      </x:c>
      <x:c r="B50" s="16">
        <x:v>47.0519</x:v>
      </x:c>
      <x:c r="C50" s="16">
        <x:v>8.3012</x:v>
      </x:c>
      <x:c r="D50" s="2" t="s">
        <x:v>108</x:v>
      </x:c>
      <x:c r="E50" s="2" t="s">
        <x:v>115</x:v>
      </x:c>
      <x:c r="F50" s="26" t="str">
        <x:v>Bar/Gastronomie in Luzern – ideal für gemeinsames Fussballschauen in entspannter Atmosphäre.</x:v>
      </x:c>
      <x:c r="G50" s="28" t="e">
        <x:f>HYPERLINK("https://www.crazycactus.ch/_files/ugd/f99933_83b4984819f14b27b8253064090431e4.pdf","https://www.crazycactus.ch/_files/ugd/f99933_83b4984819f14b27b8253064090431e4.pdf")</x:f>
      </x:c>
    </x:row>
    <x:row r="51" ht="15.75" customHeight="1">
      <x:c r="A51" s="14" t="s">
        <x:v>116</x:v>
      </x:c>
      <x:c r="B51" s="16">
        <x:v>47.0527</x:v>
      </x:c>
      <x:c r="C51" s="16">
        <x:v>8.3112</x:v>
      </x:c>
      <x:c r="D51" s="2" t="s">
        <x:v>108</x:v>
      </x:c>
      <x:c r="E51" s="2" t="s">
        <x:v>117</x:v>
      </x:c>
      <x:c r="F51" s="26" t="str">
        <x:v>Hotel- und Eventlocation in Luzern – ideal für gemeinsames Fussballschauen in entspannter Atmosphäre.</x:v>
      </x:c>
      <x:c r="G51" s="28" t="e">
        <x:f>HYPERLINK("https://www.schweizerhof-luzern.ch/events/wm-2026","https://www.schweizerhof-luzern.ch/events/wm-2026")</x:f>
      </x:c>
    </x:row>
    <x:row r="52" ht="15.75" customHeight="1">
      <x:c r="A52" s="14" t="s">
        <x:v>118</x:v>
      </x:c>
      <x:c r="B52" s="16">
        <x:v>47.0442</x:v>
      </x:c>
      <x:c r="C52" s="16">
        <x:v>8.3148</x:v>
      </x:c>
      <x:c r="D52" s="2" t="s">
        <x:v>108</x:v>
      </x:c>
      <x:c r="E52" s="2" t="s">
        <x:v>119</x:v>
      </x:c>
      <x:c r="F52" s="26" t="str">
        <x:v>Eventlocation in Luzern – ideal für gemeinsames Fussballschauen in entspannter Atmosphäre.</x:v>
      </x:c>
      <x:c r="G52" s="28" t="e">
        <x:f>HYPERLINK("https://www.schuur.ch/programm/events/event-details/tschutte-eroeffnungsspiel-konzerthaus-schuur-luzern","https://www.schuur.ch/programm/events/event-details/tschutte-eroeffnungsspiel-konzerthaus-schuur-luzern")</x:f>
      </x:c>
    </x:row>
    <x:row r="53" ht="15.75" customHeight="1">
      <x:c r="A53" s="14" t="s">
        <x:v>120</x:v>
      </x:c>
      <x:c r="B53" s="16">
        <x:v>47.0505</x:v>
      </x:c>
      <x:c r="C53" s="16">
        <x:v>8.3101</x:v>
      </x:c>
      <x:c r="D53" s="2" t="s">
        <x:v>108</x:v>
      </x:c>
      <x:c r="E53" s="2" t="s">
        <x:v>121</x:v>
      </x:c>
      <x:c r="F53" s="26" t="str">
        <x:v>Restaurant/Gastronomie in Luzern – ideal für gemeinsames Fussballschauen in entspannter Atmosphäre.</x:v>
      </x:c>
      <x:c r="G53" s="28" t="e">
        <x:f>HYPERLINK("https://www.luzseebistro.ch/events","https://www.luzseebistro.ch/events")</x:f>
      </x:c>
    </x:row>
    <x:row r="54" ht="15.75" customHeight="1">
      <x:c r="A54" s="14" t="s">
        <x:v>122</x:v>
      </x:c>
      <x:c r="B54" s="16">
        <x:v>47.0498</x:v>
      </x:c>
      <x:c r="C54" s="16">
        <x:v>8.3376</x:v>
      </x:c>
      <x:c r="D54" s="2" t="s">
        <x:v>108</x:v>
      </x:c>
      <x:c r="E54" s="2" t="s">
        <x:v>123</x:v>
      </x:c>
      <x:c r="F54" s="26" t="str">
        <x:v>Public-Viewing-Standort in Luzern – ideal für gemeinsames Fussballschauen in entspannter Atmosphäre.</x:v>
      </x:c>
      <x:c r="G54" s="28" t="e">
        <x:f>HYPERLINK("https://www.minigolf-lido.ch/wm-2026","https://www.minigolf-lido.ch/wm-2026")</x:f>
      </x:c>
    </x:row>
    <x:row r="55" ht="15.75" customHeight="1">
      <x:c r="A55" s="14" t="s">
        <x:v>124</x:v>
      </x:c>
      <x:c r="B55" s="16">
        <x:v>47.1712</x:v>
      </x:c>
      <x:c r="C55" s="16">
        <x:v>8.1079</x:v>
      </x:c>
      <x:c r="D55" s="2" t="s">
        <x:v>108</x:v>
      </x:c>
      <x:c r="E55" s="2" t="s">
        <x:v>125</x:v>
      </x:c>
      <x:c r="F55" s="26" t="str">
        <x:v>Open-Air- und Sommerlocation in Sursee – ideal für gemeinsames Fussballschauen in entspannter Atmosphäre.</x:v>
      </x:c>
      <x:c r="G55" s="28" t="e">
        <x:f>HYPERLINK("https://www.braustation.com/public-viewing-sursee","https://www.braustation.com/public-viewing-sursee")</x:f>
      </x:c>
    </x:row>
    <x:row r="56" ht="15.75" customHeight="1">
      <x:c r="A56" s="14" t="s">
        <x:v>126</x:v>
      </x:c>
      <x:c r="B56" s="16">
        <x:v>47.0431</x:v>
      </x:c>
      <x:c r="C56" s="16">
        <x:v>8.3145</x:v>
      </x:c>
      <x:c r="D56" s="2" t="s">
        <x:v>108</x:v>
      </x:c>
      <x:c r="E56" s="2" t="s">
        <x:v>127</x:v>
      </x:c>
      <x:c r="F56" s="26" t="str">
        <x:v>Open-Air- und Sommerlocation in Luzern – ideal für gemeinsames Fussballschauen in entspannter Atmosphäre.</x:v>
      </x:c>
      <x:c r="G56" s="28" t="e">
        <x:f>HYPERLINK("https://www.amballfuerstrassenkinder.ch/public-viewing-ufschoetti/","https://www.amballfuerstrassenkinder.ch/public-viewing-ufschoetti/")</x:f>
      </x:c>
    </x:row>
    <x:row r="57" ht="15.75" customHeight="1">
      <x:c r="A57" s="17" t="s">
        <x:v>128</x:v>
      </x:c>
      <x:c r="B57" s="16">
        <x:v>46.9916</x:v>
      </x:c>
      <x:c r="C57" s="16">
        <x:v>6.9301</x:v>
      </x:c>
      <x:c r="D57" s="2" t="s">
        <x:v>129</x:v>
      </x:c>
      <x:c r="E57" s="2" t="s">
        <x:v>130</x:v>
      </x:c>
      <x:c r="F57" s="26" t="str">
        <x:v>Public-Viewing-Standort in Neuchâtel – ideal für gemeinsames Fussballschauen in entspannter Atmosphäre.</x:v>
      </x:c>
      <x:c r="G57" s="28" t="e">
        <x:f>HYPERLINK("https://www.instagram.com/p/DXqVAVMCkJB/","https://www.instagram.com/p/DXqVAVMCkJB/")</x:f>
      </x:c>
    </x:row>
    <x:row r="58" ht="15.75" customHeight="1">
      <x:c r="A58" s="14" t="s">
        <x:v>131</x:v>
      </x:c>
      <x:c r="B58" s="16">
        <x:v>47.6968</x:v>
      </x:c>
      <x:c r="C58" s="16">
        <x:v>8.6361</x:v>
      </x:c>
      <x:c r="D58" s="2" t="s">
        <x:v>132</x:v>
      </x:c>
      <x:c r="E58" s="2" t="s">
        <x:v>133</x:v>
      </x:c>
      <x:c r="F58" s="26" t="str">
        <x:v>Open-Air- und Sommerlocation in Schaffhausen – ideal für gemeinsames Fussballschauen in entspannter Atmosphäre.</x:v>
      </x:c>
      <x:c r="G58" s="28" t="e">
        <x:f>HYPERLINK("https://www.wm-garten.ch/index.php","https://www.wm-garten.ch/index.php")</x:f>
      </x:c>
    </x:row>
    <x:row r="59" ht="15.75" customHeight="1">
      <x:c r="A59" s="14" t="s">
        <x:v>134</x:v>
      </x:c>
      <x:c r="B59" s="16">
        <x:v>47.696</x:v>
      </x:c>
      <x:c r="C59" s="16">
        <x:v>8.6329</x:v>
      </x:c>
      <x:c r="D59" s="2" t="s">
        <x:v>132</x:v>
      </x:c>
      <x:c r="E59" s="2" t="s">
        <x:v>135</x:v>
      </x:c>
      <x:c r="F59" s="26" t="str">
        <x:v>Arena/Eventfläche in Schaffhausen – ideal für gemeinsames Fussballschauen in entspannter Atmosphäre.</x:v>
      </x:c>
      <x:c r="G59" s="28" t="e">
        <x:f>HYPERLINK("https://www.rhykantine.ch/rhy-arena","https://www.rhykantine.ch/rhy-arena")</x:f>
      </x:c>
    </x:row>
    <x:row r="60" ht="15.75" customHeight="1">
      <x:c r="A60" s="14" t="s">
        <x:v>136</x:v>
      </x:c>
      <x:c r="B60" s="16">
        <x:v>47.028</x:v>
      </x:c>
      <x:c r="C60" s="16">
        <x:v>8.6325</x:v>
      </x:c>
      <x:c r="D60" s="2" t="s">
        <x:v>137</x:v>
      </x:c>
      <x:c r="E60" s="2" t="s">
        <x:v>138</x:v>
      </x:c>
      <x:c r="F60" s="26" t="str">
        <x:v>Bar/Gastronomie in Seewen mit Fokus auf Spiele mit Schweizer Beteiligung – ideal für gemeinsames Fussballschauen in entspannter Atmosphäre.</x:v>
      </x:c>
      <x:c r="G60" s="28" t="e">
        <x:f>HYPERLINK("https://www.gaswerk-eventbar.ch/veranstaltungen/fussball-wm-2026-katar-schweiz/","https://www.gaswerk-eventbar.ch/veranstaltungen/fussball-wm-2026-katar-schweiz/")</x:f>
      </x:c>
    </x:row>
    <x:row r="61" ht="15.75" customHeight="1">
      <x:c r="A61" s="14" t="s">
        <x:v>139</x:v>
      </x:c>
      <x:c r="B61" s="16">
        <x:v>47.0298</x:v>
      </x:c>
      <x:c r="C61" s="16">
        <x:v>8.6305</x:v>
      </x:c>
      <x:c r="D61" s="2" t="s">
        <x:v>137</x:v>
      </x:c>
      <x:c r="E61" s="2" t="s">
        <x:v>140</x:v>
      </x:c>
      <x:c r="F61" s="26" t="str">
        <x:v>Eventlocation in Seewen mit Fokus auf Spiele mit Schweizer Beteiligung – ideal für gemeinsames Fussballschauen in entspannter Atmosphäre.</x:v>
      </x:c>
      <x:c r="G61" s="28" t="e">
        <x:f>HYPERLINK("https://www.kult-turm.ch/veranstaltung/wm-spiel/","https://www.kult-turm.ch/veranstaltung/wm-spiel/")</x:f>
      </x:c>
    </x:row>
    <x:row r="62" ht="15.75" customHeight="1">
      <x:c r="A62" s="14" t="s">
        <x:v>141</x:v>
      </x:c>
      <x:c r="B62" s="16">
        <x:v>46.9947</x:v>
      </x:c>
      <x:c r="C62" s="16">
        <x:v>8.6046</x:v>
      </x:c>
      <x:c r="D62" s="2" t="s">
        <x:v>137</x:v>
      </x:c>
      <x:c r="E62" s="2" t="s">
        <x:v>142</x:v>
      </x:c>
      <x:c r="F62" s="26" t="str">
        <x:v>Public-Viewing-Standort in Brunnen – ideal für gemeinsames Fussballschauen in entspannter Atmosphäre.</x:v>
      </x:c>
      <x:c r="G62" s="28" t="e">
        <x:f>HYPERLINK("https://fcbrunnen.ch/home/detailview/article/140465/eyJlIjoiMzIwODA4IiwiaSI6MX0=","https://fcbrunnen.ch/home/detailview/article/140465/eyJlIjoiMzIwODA4IiwiaSI6MX0=")</x:f>
      </x:c>
    </x:row>
    <x:row r="63" ht="15.75" customHeight="1">
      <x:c r="A63" s="14" t="s">
        <x:v>143</x:v>
      </x:c>
      <x:c r="B63" s="16">
        <x:v>47.2056</x:v>
      </x:c>
      <x:c r="C63" s="16">
        <x:v>7.5362</x:v>
      </x:c>
      <x:c r="D63" s="2" t="s">
        <x:v>144</x:v>
      </x:c>
      <x:c r="E63" s="2" t="s">
        <x:v>145</x:v>
      </x:c>
      <x:c r="F63" s="26" t="str">
        <x:v>Open-Air- und Sommerlocation in Solothurn – ideal für gemeinsames Fussballschauen in entspannter Atmosphäre.</x:v>
      </x:c>
      <x:c r="G63" s="28" t="e">
        <x:f>HYPERLINK("https://www.beachstyle.ch/","https://www.beachstyle.ch/")</x:f>
      </x:c>
    </x:row>
    <x:row r="64" ht="15.75" customHeight="1">
      <x:c r="A64" s="14" t="s">
        <x:v>146</x:v>
      </x:c>
      <x:c r="B64" s="16">
        <x:v>47.2075</x:v>
      </x:c>
      <x:c r="C64" s="16">
        <x:v>7.5389</x:v>
      </x:c>
      <x:c r="D64" s="2" t="s">
        <x:v>144</x:v>
      </x:c>
      <x:c r="E64" s="2" t="s">
        <x:v>147</x:v>
      </x:c>
      <x:c r="F64" s="26" t="str">
        <x:v>Bar/Gastronomie in Solothurn – ideal für gemeinsames Fussballschauen in entspannter Atmosphäre.</x:v>
      </x:c>
      <x:c r="G64" s="28" t="e">
        <x:f>HYPERLINK("https://solheure.ch/events/wm2026-public-viewing/","https://solheure.ch/events/wm2026-public-viewing/")</x:f>
      </x:c>
    </x:row>
    <x:row r="65" ht="15.75" customHeight="1">
      <x:c r="A65" s="17" t="s">
        <x:v>148</x:v>
      </x:c>
      <x:c r="B65" s="16">
        <x:v>47.4244</x:v>
      </x:c>
      <x:c r="C65" s="16">
        <x:v>9.3789</x:v>
      </x:c>
      <x:c r="D65" s="2" t="s">
        <x:v>149</x:v>
      </x:c>
      <x:c r="E65" s="2" t="s">
        <x:v>150</x:v>
      </x:c>
      <x:c r="F65" s="26" t="str">
        <x:v>Eventlocation in St. Gallen – ideal für gemeinsames Fussballschauen in entspannter Atmosphäre.</x:v>
      </x:c>
      <x:c r="G65" s="28" t="e">
        <x:f>HYPERLINK("https://www.instagram.com/affekt_bar/?hl=de","https://www.instagram.com/affekt_bar/?hl=de")</x:f>
      </x:c>
    </x:row>
    <x:row r="66" ht="15.75" customHeight="1">
      <x:c r="A66" s="14" t="s">
        <x:v>151</x:v>
      </x:c>
      <x:c r="B66" s="16">
        <x:v>47.1669</x:v>
      </x:c>
      <x:c r="C66" s="16">
        <x:v>9.4761</x:v>
      </x:c>
      <x:c r="D66" s="2" t="s">
        <x:v>149</x:v>
      </x:c>
      <x:c r="E66" s="2" t="s">
        <x:v>152</x:v>
      </x:c>
      <x:c r="F66" s="26" t="str">
        <x:v>Bar/Gastronomie in Buchs SG – ideal für gemeinsames Fussballschauen in entspannter Atmosphäre.</x:v>
      </x:c>
      <x:c r="G66" s="28" t="e">
        <x:f>HYPERLINK("https://www.d-gass.ch/reservation","https://www.d-gass.ch/reservation")</x:f>
      </x:c>
    </x:row>
    <x:row r="67" ht="15.75" customHeight="1">
      <x:c r="A67" s="14" t="s">
        <x:v>153</x:v>
      </x:c>
      <x:c r="B67" s="16">
        <x:v>47.4238</x:v>
      </x:c>
      <x:c r="C67" s="16">
        <x:v>9.3669</x:v>
      </x:c>
      <x:c r="D67" s="2" t="s">
        <x:v>149</x:v>
      </x:c>
      <x:c r="E67" s="2" t="s">
        <x:v>154</x:v>
      </x:c>
      <x:c r="F67" s="26" t="str">
        <x:v>Eventlocation in St. Gallen – ideal für gemeinsames Fussballschauen in entspannter Atmosphäre.</x:v>
      </x:c>
      <x:c r="G67" s="28" t="e">
        <x:f>HYPERLINK("https://www.militaerkantine.ch/de/veranstaltung/drink-and-draw-3/","https://www.militaerkantine.ch/de/veranstaltung/drink-and-draw-3/")</x:f>
      </x:c>
    </x:row>
    <x:row r="68" ht="15.75" customHeight="1">
      <x:c r="A68" s="14" t="s">
        <x:v>155</x:v>
      </x:c>
      <x:c r="B68" s="16">
        <x:v>47.4245</x:v>
      </x:c>
      <x:c r="C68" s="16">
        <x:v>9.376</x:v>
      </x:c>
      <x:c r="D68" s="2" t="s">
        <x:v>149</x:v>
      </x:c>
      <x:c r="E68" s="2" t="s">
        <x:v>156</x:v>
      </x:c>
      <x:c r="F68" s="26" t="str">
        <x:v>Arena/Eventfläche in St.Gallen – ideal für gemeinsames Fussballschauen in entspannter Atmosphäre.</x:v>
      </x:c>
      <x:c r="G68" s="28" t="e">
        <x:f>HYPERLINK("https://www.waaghaus-arena.ch/","https://www.waaghaus-arena.ch/")</x:f>
      </x:c>
    </x:row>
    <x:row r="69" ht="15.75" customHeight="1">
      <x:c r="A69" s="14" t="s">
        <x:v>157</x:v>
      </x:c>
      <x:c r="B69" s="16">
        <x:v>46.0031</x:v>
      </x:c>
      <x:c r="C69" s="16">
        <x:v>8.952</x:v>
      </x:c>
      <x:c r="D69" s="2" t="s">
        <x:v>158</x:v>
      </x:c>
      <x:c r="E69" s="2" t="s">
        <x:v>159</x:v>
      </x:c>
      <x:c r="F69" s="26" t="str">
        <x:v>Public-Viewing-Standort in Lugano – ideal für gemeinsames Fussballschauen in entspannter Atmosphäre.</x:v>
      </x:c>
      <x:c r="G69" s="28" t="e">
        <x:f>HYPERLINK("https://www.zurich.ch/de/ueber-uns/sponsoring/public-viewing","https://www.zurich.ch/de/ueber-uns/sponsoring/public-viewing")</x:f>
      </x:c>
    </x:row>
    <x:row r="70" ht="15.75" customHeight="1">
      <x:c r="A70" s="14" t="s">
        <x:v>160</x:v>
      </x:c>
      <x:c r="B70" s="16">
        <x:v>47.6508</x:v>
      </x:c>
      <x:c r="C70" s="16">
        <x:v>9.1776</x:v>
      </x:c>
      <x:c r="D70" s="2" t="s">
        <x:v>161</x:v>
      </x:c>
      <x:c r="E70" s="2" t="s">
        <x:v>162</x:v>
      </x:c>
      <x:c r="F70" s="26" t="str">
        <x:v>Arena/Eventfläche in Kreuzlingen – ideal für gemeinsames Fussballschauen in entspannter Atmosphäre.</x:v>
      </x:c>
      <x:c r="G70" s="28" t="e">
        <x:f>HYPERLINK("https://www.bodensee-arena.com/public-viewing/","https://www.bodensee-arena.com/public-viewing/")</x:f>
      </x:c>
    </x:row>
    <x:row r="71" ht="15.75" customHeight="1">
      <x:c r="A71" s="14" t="s">
        <x:v>163</x:v>
      </x:c>
      <x:c r="B71" s="16">
        <x:v>47.5579</x:v>
      </x:c>
      <x:c r="C71" s="16">
        <x:v>8.8988</x:v>
      </x:c>
      <x:c r="D71" s="2" t="s">
        <x:v>161</x:v>
      </x:c>
      <x:c r="E71" s="2" t="s">
        <x:v>164</x:v>
      </x:c>
      <x:c r="F71" s="26" t="str">
        <x:v>Bar/Gastronomie in Frauenfeld – ideal für gemeinsames Fussballschauen in entspannter Atmosphäre.</x:v>
      </x:c>
      <x:c r="G71" s="28" t="e">
        <x:f>HYPERLINK("https://dreiegg.ch/event/fussball-wm-26-kanada-mexico-usa/","https://dreiegg.ch/event/fussball-wm-26-kanada-mexico-usa/")</x:f>
      </x:c>
    </x:row>
    <x:row r="72" ht="15.75" customHeight="1">
      <x:c r="A72" s="14" t="s">
        <x:v>165</x:v>
      </x:c>
      <x:c r="B72" s="16">
        <x:v>47.5579</x:v>
      </x:c>
      <x:c r="C72" s="16">
        <x:v>8.8986</x:v>
      </x:c>
      <x:c r="D72" s="2" t="s">
        <x:v>161</x:v>
      </x:c>
      <x:c r="E72" s="2" t="s">
        <x:v>166</x:v>
      </x:c>
      <x:c r="F72" s="26" t="str">
        <x:v>Bar/Gastronomie in Frauenfeld – ideal für gemeinsames Fussballschauen in entspannter Atmosphäre.</x:v>
      </x:c>
      <x:c r="G72" s="28" t="e">
        <x:f>HYPERLINK("https://www.peggys.ch/","https://www.peggys.ch/")</x:f>
      </x:c>
    </x:row>
    <x:row r="73" ht="15.75" customHeight="1">
      <x:c r="A73" s="14" t="s">
        <x:v>167</x:v>
      </x:c>
      <x:c r="B73" s="16">
        <x:v>47.5135</x:v>
      </x:c>
      <x:c r="C73" s="16">
        <x:v>9.4309</x:v>
      </x:c>
      <x:c r="D73" s="2" t="s">
        <x:v>161</x:v>
      </x:c>
      <x:c r="E73" s="2" t="s">
        <x:v>168</x:v>
      </x:c>
      <x:c r="F73" s="26" t="str">
        <x:v>Open-Air- und Sommerlocation in Arbon – ideal für gemeinsames Fussballschauen in entspannter Atmosphäre.</x:v>
      </x:c>
      <x:c r="G73" s="28" t="e">
        <x:f>HYPERLINK("https://eventfrog.ch/de/p/sport-fitness/public-viewing/public-viewing-wm-arbon-tg-2026-schweiz-bosnien-7465420232686857772.html","https://eventfrog.ch/de/p/sport-fitness/public-viewing/public-viewing-wm-arbon-tg-2026-schweiz-bosnien-7465420232686857772.html")</x:f>
      </x:c>
    </x:row>
    <x:row r="74" ht="15.75" customHeight="1">
      <x:c r="A74" s="14" t="s">
        <x:v>169</x:v>
      </x:c>
      <x:c r="B74" s="16">
        <x:v>46.922</x:v>
      </x:c>
      <x:c r="C74" s="16">
        <x:v>7.0317</x:v>
      </x:c>
      <x:c r="D74" s="2" t="s">
        <x:v>170</x:v>
      </x:c>
      <x:c r="E74" s="2" t="s">
        <x:v>171</x:v>
      </x:c>
      <x:c r="F74" s="26" t="str">
        <x:v>Public-Viewing-Standort in Bellerive – ideal für gemeinsames Fussballschauen in entspannter Atmosphäre.</x:v>
      </x:c>
      <x:c r="G74" s="28" t="e">
        <x:f>HYPERLINK("https://autonovafanzone.ch/fr/infos/","https://autonovafanzone.ch/fr/infos/")</x:f>
      </x:c>
    </x:row>
    <x:row r="75" ht="15.75" customHeight="1">
      <x:c r="A75" s="14" t="s">
        <x:v>172</x:v>
      </x:c>
      <x:c r="B75" s="16">
        <x:v>46.5178</x:v>
      </x:c>
      <x:c r="C75" s="16">
        <x:v>6.63</x:v>
      </x:c>
      <x:c r="D75" s="2" t="s">
        <x:v>170</x:v>
      </x:c>
      <x:c r="E75" s="2" t="s">
        <x:v>173</x:v>
      </x:c>
      <x:c r="F75" s="26" t="str">
        <x:v>Bar/Gastronomie in Lausanne – ideal für gemeinsames Fussballschauen in entspannter Atmosphäre.</x:v>
      </x:c>
      <x:c r="G75" s="28" t="e">
        <x:f>HYPERLINK("https://bameebar.ch/","https://bameebar.ch/")</x:f>
      </x:c>
    </x:row>
    <x:row r="76" ht="15.75" customHeight="1">
      <x:c r="A76" s="14" t="s">
        <x:v>174</x:v>
      </x:c>
      <x:c r="B76" s="16">
        <x:v>46.521</x:v>
      </x:c>
      <x:c r="C76" s="16">
        <x:v>6.631</x:v>
      </x:c>
      <x:c r="D76" s="2" t="s">
        <x:v>170</x:v>
      </x:c>
      <x:c r="E76" s="2" t="s">
        <x:v>175</x:v>
      </x:c>
      <x:c r="F76" s="26" t="str">
        <x:v>Bar/Gastronomie in Lausanne – ideal für gemeinsames Fussballschauen in entspannter Atmosphäre.</x:v>
      </x:c>
      <x:c r="G76" s="28" t="e">
        <x:f>HYPERLINK("https://bulldogbar.ch/","https://bulldogbar.ch/")</x:f>
      </x:c>
    </x:row>
    <x:row r="77" ht="15.75" customHeight="1">
      <x:c r="A77" s="14" t="s">
        <x:v>176</x:v>
      </x:c>
      <x:c r="B77" s="16">
        <x:v>46.4314</x:v>
      </x:c>
      <x:c r="C77" s="16">
        <x:v>6.2526</x:v>
      </x:c>
      <x:c r="D77" s="2" t="s">
        <x:v>170</x:v>
      </x:c>
      <x:c r="E77" s="2" t="s">
        <x:v>177</x:v>
      </x:c>
      <x:c r="F77" s="26" t="str">
        <x:v>Public-Viewing-Standort in Vich – ideal für gemeinsames Fussballschauen in entspannter Atmosphäre.</x:v>
      </x:c>
      <x:c r="G77" s="28" t="e">
        <x:f>HYPERLINK("https://www.myswitzerland.com/en-ch/experiences/events/fan-arena-2026/","https://www.myswitzerland.com/en-ch/experiences/events/fan-arena-2026/")</x:f>
      </x:c>
    </x:row>
    <x:row r="78" ht="15.75" customHeight="1">
      <x:c r="A78" s="17" t="s">
        <x:v>178</x:v>
      </x:c>
      <x:c r="B78" s="16">
        <x:v>46.3186</x:v>
      </x:c>
      <x:c r="C78" s="16">
        <x:v>6.9725</x:v>
      </x:c>
      <x:c r="D78" s="2" t="s">
        <x:v>170</x:v>
      </x:c>
      <x:c r="E78" s="2" t="s">
        <x:v>179</x:v>
      </x:c>
      <x:c r="F78" s="26" t="str">
        <x:v>Public-Viewing-Standort in Aigle – ideal für gemeinsames Fussballschauen in entspannter Atmosphäre.</x:v>
      </x:c>
      <x:c r="G78" s="28" t="e">
        <x:f>HYPERLINK("https://www.aigle.ch/N19602/fan-zone.html","https://www.aigle.ch/N19602/fan-zone.html")</x:f>
      </x:c>
    </x:row>
    <x:row r="79" ht="15.75" customHeight="1">
      <x:c r="A79" s="14" t="s">
        <x:v>180</x:v>
      </x:c>
      <x:c r="B79" s="16">
        <x:v>46.4593</x:v>
      </x:c>
      <x:c r="C79" s="16">
        <x:v>6.8439</x:v>
      </x:c>
      <x:c r="D79" s="2" t="s">
        <x:v>170</x:v>
      </x:c>
      <x:c r="E79" s="2" t="s">
        <x:v>181</x:v>
      </x:c>
      <x:c r="F79" s="26" t="str">
        <x:v>Public-Viewing-Standort in Vevey – ideal für gemeinsames Fussballschauen in entspannter Atmosphäre.</x:v>
      </x:c>
      <x:c r="G79" s="28" t="e">
        <x:f>HYPERLINK("https://veveyfanzone.ch/","https://veveyfanzone.ch/")</x:f>
      </x:c>
    </x:row>
    <x:row r="80" ht="15.75" customHeight="1">
      <x:c r="A80" s="14" t="s">
        <x:v>182</x:v>
      </x:c>
      <x:c r="B80" s="16">
        <x:v>46.5209</x:v>
      </x:c>
      <x:c r="C80" s="16">
        <x:v>6.631</x:v>
      </x:c>
      <x:c r="D80" s="2" t="s">
        <x:v>170</x:v>
      </x:c>
      <x:c r="E80" s="2" t="s">
        <x:v>183</x:v>
      </x:c>
      <x:c r="F80" s="26" t="str">
        <x:v>Pub/Sportsbar in Lausanne – ideal für gemeinsames Fussballschauen in entspannter Atmosphäre.</x:v>
      </x:c>
      <x:c r="G80" s="28" t="e">
        <x:f>HYPERLINK("https://www.kingsizepub.ch/","https://www.kingsizepub.ch/")</x:f>
      </x:c>
    </x:row>
    <x:row r="81" ht="15.75" customHeight="1">
      <x:c r="A81" s="14" t="s">
        <x:v>184</x:v>
      </x:c>
      <x:c r="B81" s="16">
        <x:v>46.5216</x:v>
      </x:c>
      <x:c r="C81" s="16">
        <x:v>6.631</x:v>
      </x:c>
      <x:c r="D81" s="2" t="s">
        <x:v>170</x:v>
      </x:c>
      <x:c r="E81" s="2" t="s">
        <x:v>185</x:v>
      </x:c>
      <x:c r="F81" s="26" t="str">
        <x:v>Pub/Sportsbar in Lausanne – ideal für gemeinsames Fussballschauen in entspannter Atmosphäre.</x:v>
      </x:c>
      <x:c r="G81" s="28" t="e">
        <x:f>HYPERLINK("https://mccarthysirishpub.ch/lausanne/","https://mccarthysirishpub.ch/lausanne/")</x:f>
      </x:c>
    </x:row>
    <x:row r="82" ht="15.75" customHeight="1">
      <x:c r="A82" s="14" t="s">
        <x:v>186</x:v>
      </x:c>
      <x:c r="B82" s="16">
        <x:v>46.5193</x:v>
      </x:c>
      <x:c r="C82" s="16">
        <x:v>6.634</x:v>
      </x:c>
      <x:c r="D82" s="2" t="s">
        <x:v>170</x:v>
      </x:c>
      <x:c r="E82" s="2" t="s">
        <x:v>187</x:v>
      </x:c>
      <x:c r="F82" s="26" t="str">
        <x:v>Public-Viewing-Location in Lausanne – ideal für gemeinsames Fussballschauen in entspannter Atmosphäre.</x:v>
      </x:c>
      <x:c r="G82" s="28" t="e">
        <x:f>HYPERLINK("https://www.montanas.ch/","https://www.montanas.ch/")</x:f>
      </x:c>
    </x:row>
    <x:row r="83" ht="15.75" customHeight="1">
      <x:c r="A83" s="17" t="s">
        <x:v>188</x:v>
      </x:c>
      <x:c r="B83" s="16">
        <x:v>46.784556</x:v>
      </x:c>
      <x:c r="C83" s="19">
        <x:v>6.638556</x:v>
      </x:c>
      <x:c r="D83" s="5" t="s">
        <x:v>170</x:v>
      </x:c>
      <x:c r="E83" s="5" t="s">
        <x:v>189</x:v>
      </x:c>
      <x:c r="F83" s="26" t="str">
        <x:v>Public-Viewing-Standort in Yverdon-les-Bains – ideal für gemeinsames Fussballschauen in entspannter Atmosphäre.</x:v>
      </x:c>
      <x:c r="G83" s="28" t="e">
        <x:f>HYPERLINK("https://boxer.ch/news-archiv/public-viewing/","https://boxer.ch/news-archiv/public-viewing/")</x:f>
      </x:c>
    </x:row>
    <x:row r="84" ht="15.75" customHeight="1">
      <x:c r="A84" s="14" t="s">
        <x:v>190</x:v>
      </x:c>
      <x:c r="B84" s="16">
        <x:v>46.5222</x:v>
      </x:c>
      <x:c r="C84" s="16">
        <x:v>6.6328</x:v>
      </x:c>
      <x:c r="D84" s="2" t="s">
        <x:v>170</x:v>
      </x:c>
      <x:c r="E84" s="2" t="s">
        <x:v>191</x:v>
      </x:c>
      <x:c r="F84" s="26" t="str">
        <x:v>Public-Viewing-Location in Lausanne – ideal für gemeinsames Fussballschauen in entspannter Atmosphäre.</x:v>
      </x:c>
      <x:c r="G84" s="28" t="e">
        <x:f>HYPERLINK("https://the-great.ch/","https://the-great.ch/")</x:f>
      </x:c>
    </x:row>
    <x:row r="85" ht="15.75" customHeight="1">
      <x:c r="A85" s="14" t="s">
        <x:v>192</x:v>
      </x:c>
      <x:c r="B85" s="16">
        <x:v>46.2338</x:v>
      </x:c>
      <x:c r="C85" s="16">
        <x:v>7.3861</x:v>
      </x:c>
      <x:c r="D85" s="2" t="s">
        <x:v>193</x:v>
      </x:c>
      <x:c r="E85" s="2" t="s">
        <x:v>194</x:v>
      </x:c>
      <x:c r="F85" s="26" t="str">
        <x:v>Open-Air- und Sommerlocation in Sion – ideal für gemeinsames Fussballschauen in entspannter Atmosphäre.</x:v>
      </x:c>
      <x:c r="G85" s="28" t="e">
        <x:f>HYPERLINK("https://www.camping-sedunum.ch/fr/","https://www.camping-sedunum.ch/fr/")</x:f>
      </x:c>
    </x:row>
    <x:row r="86" ht="15.75" customHeight="1">
      <x:c r="A86" s="14" t="s">
        <x:v>195</x:v>
      </x:c>
      <x:c r="B86" s="16">
        <x:v>46.1399</x:v>
      </x:c>
      <x:c r="C86" s="16">
        <x:v>7.1137</x:v>
      </x:c>
      <x:c r="D86" s="2" t="s">
        <x:v>193</x:v>
      </x:c>
      <x:c r="E86" s="2" t="s">
        <x:v>196</x:v>
      </x:c>
      <x:c r="F86" s="26" t="str">
        <x:v>Public-Viewing-Standort in Fully – ideal für gemeinsames Fussballschauen in entspannter Atmosphäre.</x:v>
      </x:c>
      <x:c r="G86" s="28" t="e">
        <x:f>HYPERLINK("https://fullyfestival.ch/","https://fullyfestival.ch/")</x:f>
      </x:c>
    </x:row>
    <x:row r="87" ht="15.75" customHeight="1">
      <x:c r="A87" s="14" t="s">
        <x:v>197</x:v>
      </x:c>
      <x:c r="B87" s="16">
        <x:v>46.0225</x:v>
      </x:c>
      <x:c r="C87" s="16">
        <x:v>7.7478</x:v>
      </x:c>
      <x:c r="D87" s="2" t="s">
        <x:v>193</x:v>
      </x:c>
      <x:c r="E87" s="2" t="s">
        <x:v>198</x:v>
      </x:c>
      <x:c r="F87" s="26" t="str">
        <x:v>Public-Viewing-Location in Zermatt – ideal für gemeinsames Fussballschauen in entspannter Atmosphäre.</x:v>
      </x:c>
      <x:c r="G87" s="28" t="e">
        <x:f>HYPERLINK("https://www.friizit-mattertal.ch/wm/","https://www.friizit-mattertal.ch/wm/")</x:f>
      </x:c>
    </x:row>
    <x:row r="88" ht="15.75" customHeight="1">
      <x:c r="A88" s="14" t="s">
        <x:v>199</x:v>
      </x:c>
      <x:c r="B88" s="16">
        <x:v>46.399</x:v>
      </x:c>
      <x:c r="C88" s="16">
        <x:v>8.1349</x:v>
      </x:c>
      <x:c r="D88" s="2" t="s">
        <x:v>193</x:v>
      </x:c>
      <x:c r="E88" s="2" t="s">
        <x:v>200</x:v>
      </x:c>
      <x:c r="F88" s="26" t="str">
        <x:v>Public-Viewing-Standort in Fiesch – ideal für gemeinsames Fussballschauen in entspannter Atmosphäre.</x:v>
      </x:c>
      <x:c r="G88" s="28" t="e">
        <x:f>HYPERLINK("https://www.aletscharena.ch/hier-jetzt/veranstaltung/wm-arena-public-viewing","https://www.aletscharena.ch/hier-jetzt/veranstaltung/wm-arena-public-viewing")</x:f>
      </x:c>
    </x:row>
    <x:row r="89" ht="15.75" customHeight="1">
      <x:c r="A89" s="14" t="s">
        <x:v>201</x:v>
      </x:c>
      <x:c r="B89" s="16">
        <x:v>46.3253</x:v>
      </x:c>
      <x:c r="C89" s="16">
        <x:v>7.9898</x:v>
      </x:c>
      <x:c r="D89" s="2" t="s">
        <x:v>193</x:v>
      </x:c>
      <x:c r="E89" s="2" t="s">
        <x:v>202</x:v>
      </x:c>
      <x:c r="F89" s="26" t="str">
        <x:v>Public-Viewing-Standort in Naters – ideal für gemeinsames Fussballschauen in entspannter Atmosphäre.</x:v>
      </x:c>
      <x:c r="G89" s="28" t="e">
        <x:f>HYPERLINK("https://www.drachentoeter.ch/intern/publicviewing/verein-public-viewing-naters","https://www.drachentoeter.ch/intern/publicviewing/verein-public-viewing-naters")</x:f>
      </x:c>
    </x:row>
    <x:row r="90" ht="15.75" customHeight="1">
      <x:c r="A90" s="14" t="s">
        <x:v>203</x:v>
      </x:c>
      <x:c r="B90" s="16">
        <x:v>46.0689</x:v>
      </x:c>
      <x:c r="C90" s="16">
        <x:v>7.7779</x:v>
      </x:c>
      <x:c r="D90" s="2" t="s">
        <x:v>193</x:v>
      </x:c>
      <x:c r="E90" s="2" t="s">
        <x:v>204</x:v>
      </x:c>
      <x:c r="F90" s="26" t="str">
        <x:v>Restaurant/Gastronomie in Täsch – ideal für gemeinsames Fussballschauen in entspannter Atmosphäre.</x:v>
      </x:c>
      <x:c r="G90" s="28" t="e">
        <x:f>HYPERLINK("https://www.ribis-stibis.ch/","https://www.ribis-stibis.ch/")</x:f>
      </x:c>
    </x:row>
    <x:row r="91" ht="15.75" customHeight="1">
      <x:c r="A91" s="14" t="s">
        <x:v>205</x:v>
      </x:c>
      <x:c r="B91" s="16">
        <x:v>46.107</x:v>
      </x:c>
      <x:c r="C91" s="16">
        <x:v>7.0815</x:v>
      </x:c>
      <x:c r="D91" s="2" t="s">
        <x:v>193</x:v>
      </x:c>
      <x:c r="E91" s="2" t="s">
        <x:v>206</x:v>
      </x:c>
      <x:c r="F91" s="26" t="str">
        <x:v>Public-Viewing-Location in Martigny – ideal für gemeinsames Fussballschauen in entspannter Atmosphäre.</x:v>
      </x:c>
      <x:c r="G91" s="28" t="e">
        <x:f>HYPERLINK("https://whitefrontier.ch/de/pages/nous-rendre-visite","https://whitefrontier.ch/de/pages/nous-rendre-visite")</x:f>
      </x:c>
    </x:row>
    <x:row r="92" ht="15.75" customHeight="1">
      <x:c r="A92" s="14" t="s">
        <x:v>207</x:v>
      </x:c>
      <x:c r="B92" s="16">
        <x:v>46.2325</x:v>
      </x:c>
      <x:c r="C92" s="16">
        <x:v>7.3598</x:v>
      </x:c>
      <x:c r="D92" s="2" t="s">
        <x:v>193</x:v>
      </x:c>
      <x:c r="E92" s="2" t="s">
        <x:v>208</x:v>
      </x:c>
      <x:c r="F92" s="26" t="str">
        <x:v>Pub/Sportsbar in Sion – ideal für gemeinsames Fussballschauen in entspannter Atmosphäre.</x:v>
      </x:c>
      <x:c r="G92" s="28" t="e">
        <x:f>HYPERLINK("https://siontourisme.ch/de/the-dugout-sports-bar","https://siontourisme.ch/de/the-dugout-sports-bar")</x:f>
      </x:c>
    </x:row>
    <x:row r="93" ht="15.75" customHeight="1">
      <x:c r="A93" s="14" t="s">
        <x:v>209</x:v>
      </x:c>
      <x:c r="B93" s="16">
        <x:v>46.128</x:v>
      </x:c>
      <x:c r="C93" s="16">
        <x:v>7.9366</x:v>
      </x:c>
      <x:c r="D93" s="2" t="s">
        <x:v>193</x:v>
      </x:c>
      <x:c r="E93" s="2" t="s">
        <x:v>210</x:v>
      </x:c>
      <x:c r="F93" s="26" t="str">
        <x:v>Public-Viewing-Standort in Saas-Grund – ideal für gemeinsames Fussballschauen in entspannter Atmosphäre.</x:v>
      </x:c>
      <x:c r="G93" s="28" t="e">
        <x:f>HYPERLINK("https://www.saas-fee.ch/de/erlebnisshop/veranstaltungen/SAA/4d32df79-97ea-41b1-b251-7f0a34c16421/public-viewing-wm-2026","https://www.saas-fee.ch/de/erlebnisshop/veranstaltungen/SAA/4d32df79-97ea-41b1-b251-7f0a34c16421/public-viewing-wm-2026")</x:f>
      </x:c>
    </x:row>
    <x:row r="94" ht="15.75" customHeight="1">
      <x:c r="A94" s="14" t="s">
        <x:v>211</x:v>
      </x:c>
      <x:c r="B94" s="16">
        <x:v>47.1778</x:v>
      </x:c>
      <x:c r="C94" s="16">
        <x:v>8.4316</x:v>
      </x:c>
      <x:c r="D94" s="2" t="s">
        <x:v>212</x:v>
      </x:c>
      <x:c r="E94" s="2" t="s">
        <x:v>213</x:v>
      </x:c>
      <x:c r="F94" s="26" t="str">
        <x:v>Bar/Gastronomie in Hünenberg – ideal für gemeinsames Fussballschauen in entspannter Atmosphäre.</x:v>
      </x:c>
      <x:c r="G94" s="28" t="e">
        <x:f>HYPERLINK("https://www.brauereibaar.ch/erlebnis/regional-verbunden/public-viewing","https://www.brauereibaar.ch/erlebnis/regional-verbunden/public-viewing")</x:f>
      </x:c>
    </x:row>
    <x:row r="95" ht="15.75" customHeight="1">
      <x:c r="A95" s="14" t="s">
        <x:v>214</x:v>
      </x:c>
      <x:c r="B95" s="16">
        <x:v>47.3799</x:v>
      </x:c>
      <x:c r="C95" s="16">
        <x:v>8.532</x:v>
      </x:c>
      <x:c r="D95" s="2" t="s">
        <x:v>215</x:v>
      </x:c>
      <x:c r="E95" s="2" t="s">
        <x:v>216</x:v>
      </x:c>
      <x:c r="F95" s="26" t="str">
        <x:v>Eventlocation in Zürich – ideal für gemeinsames Fussballschauen in entspannter Atmosphäre.</x:v>
      </x:c>
      <x:c r="G95" s="28" t="e">
        <x:f>HYPERLINK("https://ambossrampe.ch/","https://ambossrampe.ch/")</x:f>
      </x:c>
    </x:row>
    <x:row r="96" ht="15.75" customHeight="1">
      <x:c r="A96" s="14" t="s">
        <x:v>217</x:v>
      </x:c>
      <x:c r="B96" s="16">
        <x:v>47.505</x:v>
      </x:c>
      <x:c r="C96" s="16">
        <x:v>8.793</x:v>
      </x:c>
      <x:c r="D96" s="2" t="s">
        <x:v>215</x:v>
      </x:c>
      <x:c r="E96" s="2" t="s">
        <x:v>218</x:v>
      </x:c>
      <x:c r="F96" s="26" t="str">
        <x:v>Arena/Eventfläche in Elsau – ideal für gemeinsames Fussballschauen in entspannter Atmosphäre.</x:v>
      </x:c>
      <x:c r="G96" s="28" t="e">
        <x:f>HYPERLINK("https://www.tennisarena.ch/","https://www.tennisarena.ch/")</x:f>
      </x:c>
    </x:row>
    <x:row r="97" ht="15.75" customHeight="1">
      <x:c r="A97" s="14" t="s">
        <x:v>219</x:v>
      </x:c>
      <x:c r="B97" s="16">
        <x:v>47.3845</x:v>
      </x:c>
      <x:c r="C97" s="16">
        <x:v>8.4243</x:v>
      </x:c>
      <x:c r="D97" s="2" t="s">
        <x:v>215</x:v>
      </x:c>
      <x:c r="E97" s="2" t="s">
        <x:v>220</x:v>
      </x:c>
      <x:c r="F97" s="26" t="str">
        <x:v>Bar/Gastronomie in Urdorf – ideal für gemeinsames Fussballschauen in entspannter Atmosphäre.</x:v>
      </x:c>
      <x:c r="G97" s="28" t="e">
        <x:f>HYPERLINK("https://evcon.ch/","https://evcon.ch/")</x:f>
      </x:c>
    </x:row>
    <x:row r="98" ht="15.75" customHeight="1">
      <x:c r="A98" s="14" t="s">
        <x:v>221</x:v>
      </x:c>
      <x:c r="B98" s="16">
        <x:v>47.3784</x:v>
      </x:c>
      <x:c r="C98" s="16">
        <x:v>8.5343</x:v>
      </x:c>
      <x:c r="D98" s="2" t="s">
        <x:v>215</x:v>
      </x:c>
      <x:c r="E98" s="2" t="s">
        <x:v>222</x:v>
      </x:c>
      <x:c r="F98" s="26" t="str">
        <x:v>Bar/Gastronomie in Zürich – ideal für gemeinsames Fussballschauen in entspannter Atmosphäre.</x:v>
      </x:c>
      <x:c r="G98" s="28" t="e">
        <x:f>HYPERLINK("https://cafeeuropa.ch/wm-2026","https://cafeeuropa.ch/wm-2026")</x:f>
      </x:c>
    </x:row>
    <x:row r="99" ht="15.75" customHeight="1">
      <x:c r="A99" s="14" t="s">
        <x:v>223</x:v>
      </x:c>
      <x:c r="B99" s="16">
        <x:v>47.5203</x:v>
      </x:c>
      <x:c r="C99" s="16">
        <x:v>8.5405</x:v>
      </x:c>
      <x:c r="D99" s="2" t="s">
        <x:v>215</x:v>
      </x:c>
      <x:c r="E99" s="2" t="s">
        <x:v>224</x:v>
      </x:c>
      <x:c r="F99" s="26" t="str">
        <x:v>Public-Viewing-Location in Bülach – ideal für gemeinsames Fussballschauen in entspannter Atmosphäre.</x:v>
      </x:c>
      <x:c r="G99" s="28" t="e">
        <x:f>HYPERLINK("https://www.caverno.ch/wm-public-viewing.html","https://www.caverno.ch/wm-public-viewing.html")</x:f>
      </x:c>
    </x:row>
    <x:row r="100" ht="15.75" customHeight="1">
      <x:c r="A100" s="14" t="s">
        <x:v>225</x:v>
      </x:c>
      <x:c r="B100" s="16">
        <x:v>47.3655</x:v>
      </x:c>
      <x:c r="C100" s="16">
        <x:v>8.7876</x:v>
      </x:c>
      <x:c r="D100" s="2" t="s">
        <x:v>215</x:v>
      </x:c>
      <x:c r="E100" s="2" t="s">
        <x:v>226</x:v>
      </x:c>
      <x:c r="F100" s="26" t="str">
        <x:v>Eventlocation in Pfäffikon – ideal für gemeinsames Fussballschauen in entspannter Atmosphäre.</x:v>
      </x:c>
      <x:c r="G100" s="28" t="e">
        <x:f>HYPERLINK("https://www.chesselhuus.ch/events/fussball-public-vieweing-katar-schweiz/","https://www.chesselhuus.ch/events/fussball-public-vieweing-katar-schweiz/")</x:f>
      </x:c>
    </x:row>
    <x:row r="101" ht="15.75" customHeight="1">
      <x:c r="A101" s="14" t="s">
        <x:v>227</x:v>
      </x:c>
      <x:c r="B101" s="16">
        <x:v>47.3868</x:v>
      </x:c>
      <x:c r="C101" s="16">
        <x:v>8.5196</x:v>
      </x:c>
      <x:c r="D101" s="2" t="s">
        <x:v>215</x:v>
      </x:c>
      <x:c r="E101" s="2" t="s">
        <x:v>228</x:v>
      </x:c>
      <x:c r="F101" s="26" t="str">
        <x:v>Public-Viewing-Location in Zürich mit Fokus auf Spiele mit Schweizer Beteiligung – ideal für gemeinsames Fussballschauen in entspannter Atmosphäre.</x:v>
      </x:c>
      <x:c r="G101" s="28" t="e">
        <x:f>HYPERLINK("https://exil.club/events/wm-public-viewing-katar-schweiz","https://exil.club/events/wm-public-viewing-katar-schweiz")</x:f>
      </x:c>
    </x:row>
    <x:row r="102" ht="15.75" customHeight="1">
      <x:c r="A102" s="14" t="s">
        <x:v>229</x:v>
      </x:c>
      <x:c r="B102" s="16">
        <x:v>47.3865</x:v>
      </x:c>
      <x:c r="C102" s="16">
        <x:v>8.5211</x:v>
      </x:c>
      <x:c r="D102" s="2" t="s">
        <x:v>215</x:v>
      </x:c>
      <x:c r="E102" s="2" t="s">
        <x:v>230</x:v>
      </x:c>
      <x:c r="F102" s="26" t="str">
        <x:v>Open-Air- und Sommerlocation in Zürich – ideal für gemeinsames Fussballschauen in entspannter Atmosphäre.</x:v>
      </x:c>
      <x:c r="G102" s="28" t="e">
        <x:f>HYPERLINK("https://www.fraugerold.ch/news/fussball-wm-2026-public-viewing-im-frau-gerolds-garten","https://www.fraugerold.ch/news/fussball-wm-2026-public-viewing-im-frau-gerolds-garten")</x:f>
      </x:c>
    </x:row>
    <x:row r="103" ht="15.75" customHeight="1">
      <x:c r="A103" s="14" t="s">
        <x:v>231</x:v>
      </x:c>
      <x:c r="B103" s="16">
        <x:v>47.319</x:v>
      </x:c>
      <x:c r="C103" s="16">
        <x:v>8.5838</x:v>
      </x:c>
      <x:c r="D103" s="2" t="s">
        <x:v>215</x:v>
      </x:c>
      <x:c r="E103" s="2" t="s">
        <x:v>232</x:v>
      </x:c>
      <x:c r="F103" s="26" t="str">
        <x:v>Eventlocation in Küsnacht – ideal für gemeinsames Fussballschauen in entspannter Atmosphäre.</x:v>
      </x:c>
      <x:c r="G103" s="28" t="e">
        <x:f>HYPERLINK("https://www.chesselhuus.ch/events/fussball-public-vieweing-katar-schweiz/","https://www.chesselhuus.ch/events/fussball-public-vieweing-katar-schweiz/")</x:f>
      </x:c>
    </x:row>
    <x:row r="104" ht="15.75" customHeight="1">
      <x:c r="A104" s="14" t="s">
        <x:v>233</x:v>
      </x:c>
      <x:c r="B104" s="16">
        <x:v>47.4134</x:v>
      </x:c>
      <x:c r="C104" s="16">
        <x:v>8.5406</x:v>
      </x:c>
      <x:c r="D104" s="2" t="s">
        <x:v>215</x:v>
      </x:c>
      <x:c r="E104" s="2" t="s">
        <x:v>234</x:v>
      </x:c>
      <x:c r="F104" s="26" t="str">
        <x:v>Public-Viewing-Location in Zürich – ideal für gemeinsames Fussballschauen in entspannter Atmosphäre.</x:v>
      </x:c>
      <x:c r="G104" s="28" t="e">
        <x:f>HYPERLINK("https://www.eventbutler.ch/en/fusio-oerlikon/","https://www.eventbutler.ch/en/fusio-oerlikon/")</x:f>
      </x:c>
    </x:row>
    <x:row r="105" ht="15.75" customHeight="1">
      <x:c r="A105" s="14" t="s">
        <x:v>235</x:v>
      </x:c>
      <x:c r="B105" s="16">
        <x:v>47.3859</x:v>
      </x:c>
      <x:c r="C105" s="16">
        <x:v>8.5192</x:v>
      </x:c>
      <x:c r="D105" s="2" t="s">
        <x:v>215</x:v>
      </x:c>
      <x:c r="E105" s="2" t="s">
        <x:v>236</x:v>
      </x:c>
      <x:c r="F105" s="26" t="str">
        <x:v>Public-Viewing-Standort in Zürich – ideal für gemeinsames Fussballschauen in entspannter Atmosphäre.</x:v>
      </x:c>
      <x:c r="G105" s="28" t="e">
        <x:f>HYPERLINK("https://www.maag-moments.ch/maag/de/events/event/detail/2026/maag-public-viewing.html","https://www.maag-moments.ch/maag/de/events/event/detail/2026/maag-public-viewing.html")</x:f>
      </x:c>
    </x:row>
    <x:row r="106" ht="15.75" customHeight="1">
      <x:c r="A106" s="14" t="s">
        <x:v>237</x:v>
      </x:c>
      <x:c r="B106" s="16">
        <x:v>47.3866</x:v>
      </x:c>
      <x:c r="C106" s="16">
        <x:v>8.4828</x:v>
      </x:c>
      <x:c r="D106" s="2" t="s">
        <x:v>215</x:v>
      </x:c>
      <x:c r="E106" s="2" t="s">
        <x:v>238</x:v>
      </x:c>
      <x:c r="F106" s="26" t="str">
        <x:v>Open-Air- und Sommerlocation in Zürich – ideal für gemeinsames Fussballschauen in entspannter Atmosphäre.</x:v>
      </x:c>
      <x:c r="G106" s="28" t="e">
        <x:f>HYPERLINK("https://www.micasgarten.ch/news/fussball-wm---public-viewing","https://www.micasgarten.ch/news/fussball-wm---public-viewing")</x:f>
      </x:c>
    </x:row>
    <x:row r="107" ht="15.75" customHeight="1">
      <x:c r="A107" s="14" t="s">
        <x:v>239</x:v>
      </x:c>
      <x:c r="B107" s="16">
        <x:v>47.3857</x:v>
      </x:c>
      <x:c r="C107" s="16">
        <x:v>8.5203</x:v>
      </x:c>
      <x:c r="D107" s="2" t="s">
        <x:v>215</x:v>
      </x:c>
      <x:c r="E107" s="2" t="s">
        <x:v>240</x:v>
      </x:c>
      <x:c r="F107" s="26" t="str">
        <x:v>Public-Viewing-Standort in Zürich – ideal für gemeinsames Fussballschauen in entspannter Atmosphäre.</x:v>
      </x:c>
      <x:c r="G107" s="28" t="e">
        <x:f>HYPERLINK("https://www.maag-publicviewing.ch/pv/de/angebot.html","https://www.maag-publicviewing.ch/pv/de/angebot.html")</x:f>
      </x:c>
    </x:row>
    <x:row r="108" ht="15.75" customHeight="1">
      <x:c r="A108" s="14" t="s">
        <x:v>241</x:v>
      </x:c>
      <x:c r="B108" s="16">
        <x:v>47.3577</x:v>
      </x:c>
      <x:c r="C108" s="16">
        <x:v>8.523</x:v>
      </x:c>
      <x:c r="D108" s="2" t="s">
        <x:v>215</x:v>
      </x:c>
      <x:c r="E108" s="2" t="s">
        <x:v>242</x:v>
      </x:c>
      <x:c r="F108" s="26" t="str">
        <x:v>Eventlocation in Zürich – ideal für gemeinsames Fussballschauen in entspannter Atmosphäre.</x:v>
      </x:c>
      <x:c r="G108" s="28" t="e">
        <x:f>HYPERLINK("https://sihlcity.ch/de/Kampagnen/Sommergarten26-WM/#Baumhaus","https://sihlcity.ch/de/Kampagnen/Sommergarten26-WM/#Baumhaus")</x:f>
      </x:c>
    </x:row>
    <x:row r="109" ht="15.75" customHeight="1">
      <x:c r="A109" s="14" t="s">
        <x:v>243</x:v>
      </x:c>
      <x:c r="B109" s="16">
        <x:v>47.45</x:v>
      </x:c>
      <x:c r="C109" s="16">
        <x:v>8.7038</x:v>
      </x:c>
      <x:c r="D109" s="2" t="s">
        <x:v>215</x:v>
      </x:c>
      <x:c r="E109" s="2" t="s">
        <x:v>244</x:v>
      </x:c>
      <x:c r="F109" s="26" t="str">
        <x:v>Bar/Gastronomie in Kemptthal für ausgewählte Spiele – ideal für gemeinsames Fussballschauen in entspannter Atmosphäre.</x:v>
      </x:c>
      <x:c r="G109" s="28" t="e">
        <x:f>HYPERLINK("https://www.silo.bar/veranstaltungen/detail/silo-rooftop-wm-lounge-2026","https://www.silo.bar/veranstaltungen/detail/silo-rooftop-wm-lounge-2026")</x:f>
      </x:c>
    </x:row>
    <x:row r="110" ht="15.75" customHeight="1">
      <x:c r="A110" s="14" t="s">
        <x:v>245</x:v>
      </x:c>
      <x:c r="B110" s="16">
        <x:v>47.4995</x:v>
      </x:c>
      <x:c r="C110" s="16">
        <x:v>8.7291</x:v>
      </x:c>
      <x:c r="D110" s="2" t="s">
        <x:v>215</x:v>
      </x:c>
      <x:c r="E110" s="2" t="s">
        <x:v>246</x:v>
      </x:c>
      <x:c r="F110" s="26" t="str">
        <x:v>Eventlocation in Winterthur – ideal für gemeinsames Fussballschauen in entspannter Atmosphäre.</x:v>
      </x:c>
      <x:c r="G110" s="28" t="e">
        <x:f>HYPERLINK("https://www.turmareal-popup.ch/tas-26/wm-2026","https://www.turmareal-popup.ch/tas-26/wm-2026")</x:f>
      </x:c>
    </x:row>
    <x:row r="111" ht="15.75" customHeight="1">
      <x:c r="A111" s="14" t="s">
        <x:v>247</x:v>
      </x:c>
      <x:c r="B111" s="16">
        <x:v>47.5019</x:v>
      </x:c>
      <x:c r="C111" s="16">
        <x:v>8.7275</x:v>
      </x:c>
      <x:c r="D111" s="2" t="s">
        <x:v>215</x:v>
      </x:c>
      <x:c r="E111" s="2" t="s">
        <x:v>248</x:v>
      </x:c>
      <x:c r="F111" s="26" t="str">
        <x:v>Arena/Eventfläche in Winterthur – ideal für gemeinsames Fussballschauen in entspannter Atmosphäre.</x:v>
      </x:c>
      <x:c r="G111" s="28" t="e">
        <x:f>HYPERLINK("https://www.winti-arena.ch/","https://www.winti-arena.ch/")</x:f>
      </x:c>
    </x:row>
    <x:row r="112" ht="15.75" customHeight="1">
      <x:c r="A112" s="14" t="s">
        <x:v>249</x:v>
      </x:c>
      <x:c r="B112" s="16">
        <x:v>47.2779</x:v>
      </x:c>
      <x:c r="C112" s="16">
        <x:v>8.4523</x:v>
      </x:c>
      <x:c r="D112" s="2" t="s">
        <x:v>215</x:v>
      </x:c>
      <x:c r="E112" s="2" t="s">
        <x:v>250</x:v>
      </x:c>
      <x:c r="F112" s="26" t="str">
        <x:v>Public-Viewing-Standort in Affoltern am Albis – ideal für gemeinsames Fussballschauen in entspannter Atmosphäre.</x:v>
      </x:c>
      <x:c r="G112" s="28" t="e">
        <x:f>HYPERLINK("https://www.visit-aff.ch/wm-public-viewing","https://www.visit-aff.ch/wm-public-viewing")</x:f>
      </x:c>
    </x:row>
    <x:row r="113" ht="15.75" customHeight="1">
      <x:c r="A113" s="14" t="s">
        <x:v>251</x:v>
      </x:c>
      <x:c r="B113" s="16">
        <x:v>47.3749</x:v>
      </x:c>
      <x:c r="C113" s="16">
        <x:v>8.5264</x:v>
      </x:c>
      <x:c r="D113" s="2" t="s">
        <x:v>215</x:v>
      </x:c>
      <x:c r="E113" s="2" t="s">
        <x:v>252</x:v>
      </x:c>
      <x:c r="F113" s="26" t="str">
        <x:v>Restaurant/Gastronomie in Zürich – ideal für gemeinsames Fussballschauen in entspannter Atmosphäre.</x:v>
      </x:c>
      <x:c r="G113" s="28" t="e">
        <x:f>HYPERLINK("https://www.zumglattenkoebi.ch/","https://www.zumglattenkoebi.ch/")</x:f>
      </x:c>
    </x:row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</x:sheetData>
  <x:pageMargins left="0.7" right="0.7" top="0.75" bottom="0.75" header="0.3" footer="0.3"/>
  <x:tableParts count="1">
    <x:tablePart xmlns:r="http://schemas.openxmlformats.org/officeDocument/2006/relationships" r:id="R82cd29eb5ce648b5"/>
  </x:tableParts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24" hidden="0" customWidth="1"/>
    <x:col min="2" max="4" width="18" customWidth="1"/>
    <x:col min="5" max="26" width="8.630000114440918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1.75" customHeight="1">
      <x:c r="A1" s="29" t="str">
        <x:v>Kanton</x:v>
      </x:c>
      <x:c r="B1" s="29" t="str">
        <x:v>Anzahl Einträge</x:v>
      </x:c>
      <x:c r="C1" s="29" t="str">
        <x:v>Mit Link</x:v>
      </x:c>
      <x:c r="D1" s="29" t="str">
        <x:v>Mit Koordinaten</x:v>
      </x:c>
      <x:c r="E1" s="33" t="str">
        <x:v>Mit Kurzbeschrieb</x:v>
      </x:c>
    </x:row>
    <x:row r="2">
      <x:c r="A2" s="34" t="str">
        <x:v>Aargau</x:v>
      </x:c>
      <x:c r="B2" s="34" t="n">
        <x:v>4</x:v>
      </x:c>
      <x:c r="C2" s="34" t="n">
        <x:v>4</x:v>
      </x:c>
      <x:c r="D2" s="34" t="n">
        <x:v>4</x:v>
      </x:c>
      <x:c r="E2" s="35" t="n">
        <x:v>4</x:v>
      </x:c>
    </x:row>
    <x:row r="3">
      <x:c r="A3" s="34" t="str">
        <x:v>Appenzell (AI/AR)</x:v>
      </x:c>
      <x:c r="B3" s="34" t="n">
        <x:v>2</x:v>
      </x:c>
      <x:c r="C3" s="34" t="n">
        <x:v>2</x:v>
      </x:c>
      <x:c r="D3" s="34" t="n">
        <x:v>2</x:v>
      </x:c>
      <x:c r="E3" s="35" t="n">
        <x:v>2</x:v>
      </x:c>
    </x:row>
    <x:row r="4">
      <x:c r="A4" s="34" t="str">
        <x:v>Basel-Land</x:v>
      </x:c>
      <x:c r="B4" s="34" t="n">
        <x:v>6</x:v>
      </x:c>
      <x:c r="C4" s="34" t="n">
        <x:v>6</x:v>
      </x:c>
      <x:c r="D4" s="34" t="n">
        <x:v>6</x:v>
      </x:c>
      <x:c r="E4" s="35" t="n">
        <x:v>6</x:v>
      </x:c>
    </x:row>
    <x:row r="5">
      <x:c r="A5" s="34" t="str">
        <x:v>Basel-Stadt</x:v>
      </x:c>
      <x:c r="B5" s="34" t="n">
        <x:v>7</x:v>
      </x:c>
      <x:c r="C5" s="34" t="n">
        <x:v>7</x:v>
      </x:c>
      <x:c r="D5" s="34" t="n">
        <x:v>7</x:v>
      </x:c>
      <x:c r="E5" s="35" t="n">
        <x:v>7</x:v>
      </x:c>
    </x:row>
    <x:row r="6">
      <x:c r="A6" s="34" t="str">
        <x:v>Bern</x:v>
      </x:c>
      <x:c r="B6" s="34" t="n">
        <x:v>12</x:v>
      </x:c>
      <x:c r="C6" s="34" t="n">
        <x:v>12</x:v>
      </x:c>
      <x:c r="D6" s="34" t="n">
        <x:v>12</x:v>
      </x:c>
      <x:c r="E6" s="35" t="n">
        <x:v>12</x:v>
      </x:c>
    </x:row>
    <x:row r="7">
      <x:c r="A7" s="34" t="str">
        <x:v>Freiburg</x:v>
      </x:c>
      <x:c r="B7" s="34" t="n">
        <x:v>1</x:v>
      </x:c>
      <x:c r="C7" s="34" t="n">
        <x:v>1</x:v>
      </x:c>
      <x:c r="D7" s="34" t="n">
        <x:v>1</x:v>
      </x:c>
      <x:c r="E7" s="35" t="n">
        <x:v>1</x:v>
      </x:c>
    </x:row>
    <x:row r="8">
      <x:c r="A8" s="34" t="str">
        <x:v>Genf</x:v>
      </x:c>
      <x:c r="B8" s="34" t="n">
        <x:v>6</x:v>
      </x:c>
      <x:c r="C8" s="34" t="n">
        <x:v>6</x:v>
      </x:c>
      <x:c r="D8" s="34" t="n">
        <x:v>6</x:v>
      </x:c>
      <x:c r="E8" s="35" t="n">
        <x:v>6</x:v>
      </x:c>
    </x:row>
    <x:row r="9">
      <x:c r="A9" s="34" t="str">
        <x:v>Graubünden</x:v>
      </x:c>
      <x:c r="B9" s="34" t="n">
        <x:v>4</x:v>
      </x:c>
      <x:c r="C9" s="34" t="n">
        <x:v>4</x:v>
      </x:c>
      <x:c r="D9" s="34" t="n">
        <x:v>4</x:v>
      </x:c>
      <x:c r="E9" s="35" t="n">
        <x:v>4</x:v>
      </x:c>
    </x:row>
    <x:row r="10">
      <x:c r="A10" s="34" t="str">
        <x:v>Jura</x:v>
      </x:c>
      <x:c r="B10" s="34" t="n">
        <x:v>2</x:v>
      </x:c>
      <x:c r="C10" s="34" t="n">
        <x:v>2</x:v>
      </x:c>
      <x:c r="D10" s="34" t="n">
        <x:v>2</x:v>
      </x:c>
      <x:c r="E10" s="35" t="n">
        <x:v>2</x:v>
      </x:c>
    </x:row>
    <x:row r="11">
      <x:c r="A11" s="34" t="str">
        <x:v>Liechtenstein</x:v>
      </x:c>
      <x:c r="B11" s="34" t="n">
        <x:v>1</x:v>
      </x:c>
      <x:c r="C11" s="34" t="n">
        <x:v>1</x:v>
      </x:c>
      <x:c r="D11" s="34" t="n">
        <x:v>1</x:v>
      </x:c>
      <x:c r="E11" s="35" t="n">
        <x:v>1</x:v>
      </x:c>
    </x:row>
    <x:row r="12">
      <x:c r="A12" s="34" t="str">
        <x:v>Luzern</x:v>
      </x:c>
      <x:c r="B12" s="34" t="n">
        <x:v>10</x:v>
      </x:c>
      <x:c r="C12" s="34" t="n">
        <x:v>10</x:v>
      </x:c>
      <x:c r="D12" s="34" t="n">
        <x:v>10</x:v>
      </x:c>
      <x:c r="E12" s="35" t="n">
        <x:v>10</x:v>
      </x:c>
    </x:row>
    <x:row r="13">
      <x:c r="A13" s="34" t="str">
        <x:v>Neuenburg</x:v>
      </x:c>
      <x:c r="B13" s="34" t="n">
        <x:v>1</x:v>
      </x:c>
      <x:c r="C13" s="34" t="n">
        <x:v>1</x:v>
      </x:c>
      <x:c r="D13" s="34" t="n">
        <x:v>1</x:v>
      </x:c>
      <x:c r="E13" s="35" t="n">
        <x:v>1</x:v>
      </x:c>
    </x:row>
    <x:row r="14">
      <x:c r="A14" s="34" t="str">
        <x:v>Schaffhausen</x:v>
      </x:c>
      <x:c r="B14" s="34" t="n">
        <x:v>2</x:v>
      </x:c>
      <x:c r="C14" s="34" t="n">
        <x:v>2</x:v>
      </x:c>
      <x:c r="D14" s="34" t="n">
        <x:v>2</x:v>
      </x:c>
      <x:c r="E14" s="35" t="n">
        <x:v>2</x:v>
      </x:c>
    </x:row>
    <x:row r="15">
      <x:c r="A15" s="34" t="str">
        <x:v>Schwyz</x:v>
      </x:c>
      <x:c r="B15" s="34" t="n">
        <x:v>3</x:v>
      </x:c>
      <x:c r="C15" s="34" t="n">
        <x:v>3</x:v>
      </x:c>
      <x:c r="D15" s="34" t="n">
        <x:v>3</x:v>
      </x:c>
      <x:c r="E15" s="35" t="n">
        <x:v>3</x:v>
      </x:c>
    </x:row>
    <x:row r="16">
      <x:c r="A16" s="34" t="str">
        <x:v>Solothurn</x:v>
      </x:c>
      <x:c r="B16" s="34" t="n">
        <x:v>2</x:v>
      </x:c>
      <x:c r="C16" s="34" t="n">
        <x:v>2</x:v>
      </x:c>
      <x:c r="D16" s="34" t="n">
        <x:v>2</x:v>
      </x:c>
      <x:c r="E16" s="35" t="n">
        <x:v>2</x:v>
      </x:c>
    </x:row>
    <x:row r="17">
      <x:c r="A17" s="34" t="str">
        <x:v>St. Gallen</x:v>
      </x:c>
      <x:c r="B17" s="34" t="n">
        <x:v>4</x:v>
      </x:c>
      <x:c r="C17" s="34" t="n">
        <x:v>4</x:v>
      </x:c>
      <x:c r="D17" s="34" t="n">
        <x:v>4</x:v>
      </x:c>
      <x:c r="E17" s="35" t="n">
        <x:v>4</x:v>
      </x:c>
    </x:row>
    <x:row r="18">
      <x:c r="A18" s="34" t="str">
        <x:v>Tessin</x:v>
      </x:c>
      <x:c r="B18" s="34" t="n">
        <x:v>1</x:v>
      </x:c>
      <x:c r="C18" s="34" t="n">
        <x:v>1</x:v>
      </x:c>
      <x:c r="D18" s="34" t="n">
        <x:v>1</x:v>
      </x:c>
      <x:c r="E18" s="35" t="n">
        <x:v>1</x:v>
      </x:c>
    </x:row>
    <x:row r="19">
      <x:c r="A19" s="34" t="str">
        <x:v>Thurgau</x:v>
      </x:c>
      <x:c r="B19" s="34" t="n">
        <x:v>4</x:v>
      </x:c>
      <x:c r="C19" s="34" t="n">
        <x:v>4</x:v>
      </x:c>
      <x:c r="D19" s="34" t="n">
        <x:v>4</x:v>
      </x:c>
      <x:c r="E19" s="35" t="n">
        <x:v>4</x:v>
      </x:c>
    </x:row>
    <x:row r="20">
      <x:c r="A20" s="34" t="str">
        <x:v>Waadt</x:v>
      </x:c>
      <x:c r="B20" s="34" t="n">
        <x:v>11</x:v>
      </x:c>
      <x:c r="C20" s="34" t="n">
        <x:v>11</x:v>
      </x:c>
      <x:c r="D20" s="34" t="n">
        <x:v>11</x:v>
      </x:c>
      <x:c r="E20" s="35" t="n">
        <x:v>11</x:v>
      </x:c>
    </x:row>
    <x:row r="21" ht="15.75" customHeight="1">
      <x:c r="A21" s="34" t="str">
        <x:v>Wallis</x:v>
      </x:c>
      <x:c r="B21" s="34" t="n">
        <x:v>9</x:v>
      </x:c>
      <x:c r="C21" s="34" t="n">
        <x:v>9</x:v>
      </x:c>
      <x:c r="D21" s="34" t="n">
        <x:v>9</x:v>
      </x:c>
      <x:c r="E21" s="35" t="n">
        <x:v>9</x:v>
      </x:c>
    </x:row>
    <x:row r="22" ht="15.75" customHeight="1">
      <x:c r="A22" s="34" t="str">
        <x:v>Zug</x:v>
      </x:c>
      <x:c r="B22" s="34" t="n">
        <x:v>1</x:v>
      </x:c>
      <x:c r="C22" s="34" t="n">
        <x:v>1</x:v>
      </x:c>
      <x:c r="D22" s="34" t="n">
        <x:v>1</x:v>
      </x:c>
      <x:c r="E22" s="35" t="n">
        <x:v>1</x:v>
      </x:c>
    </x:row>
    <x:row r="23" ht="15.75" customHeight="1">
      <x:c r="A23" s="34" t="str">
        <x:v>Zürich</x:v>
      </x:c>
      <x:c r="B23" s="34" t="n">
        <x:v>19</x:v>
      </x:c>
      <x:c r="C23" s="34" t="n">
        <x:v>19</x:v>
      </x:c>
      <x:c r="D23" s="34" t="n">
        <x:v>19</x:v>
      </x:c>
      <x:c r="E23" s="35" t="n">
        <x:v>19</x:v>
      </x:c>
    </x:row>
    <x:row r="24" ht="15.75" customHeight="1">
      <x:c r="A24" s="36" t="str">
        <x:v>Total</x:v>
      </x:c>
      <x:c r="B24" s="36" t="n">
        <x:v>112</x:v>
      </x:c>
      <x:c r="C24" s="36" t="n">
        <x:v>112</x:v>
      </x:c>
      <x:c r="D24" s="36" t="n">
        <x:v>112</x:v>
      </x:c>
      <x:c r="E24" s="35" t="n">
        <x:v>112</x:v>
      </x:c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e9995ae769284f8f"/>
  </x:tableParts>
</x:worksheet>
</file>